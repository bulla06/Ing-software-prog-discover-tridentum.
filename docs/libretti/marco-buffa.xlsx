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18DB9327-8DE3-46DC-9CA1-1444C9B38741}" xr6:coauthVersionLast="47" xr6:coauthVersionMax="47" xr10:uidLastSave="{00000000-0000-0000-0000-000000000000}"/>
  <bookViews>
    <workbookView xWindow="-98" yWindow="-98" windowWidth="21795" windowHeight="12975" xr2:uid="{69E2A5B4-4109-48EA-BF49-3C21B144A51A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19" i="2"/>
  <c r="E17" i="2"/>
  <c r="E15" i="2"/>
  <c r="E16" i="2"/>
  <c r="E20" i="2"/>
  <c r="E18" i="2"/>
  <c r="D22" i="2"/>
  <c r="D25" i="2" s="1"/>
  <c r="E21" i="2"/>
  <c r="E14" i="2"/>
  <c r="E13" i="2"/>
  <c r="E12" i="2"/>
  <c r="E11" i="2"/>
  <c r="E10" i="2"/>
  <c r="E9" i="2"/>
  <c r="E8" i="2"/>
  <c r="E7" i="2"/>
  <c r="E6" i="2"/>
</calcChain>
</file>

<file path=xl/sharedStrings.xml><?xml version="1.0" encoding="utf-8"?>
<sst xmlns="http://schemas.openxmlformats.org/spreadsheetml/2006/main" count="39" uniqueCount="37">
  <si>
    <t>Libretto delle attività</t>
  </si>
  <si>
    <t>Marco Buffa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</si>
  <si>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</si>
  <si>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</si>
  <si>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</si>
  <si>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</si>
  <si>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</si>
  <si>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</si>
  <si>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</si>
  <si>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</si>
  <si>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</si>
  <si>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</si>
  <si>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Fase 0 — Proposta di progetto</t>
  </si>
  <si>
    <t>Stesura del testo della proposta di progetto «Trento nascosta»: contesto turistico di Trento, problema (storia cittadina e affreschi del centro poco valorizzati e difficili da trovare), idea della guida turistica non convenzionale e funzionalità principali.</t>
  </si>
  <si>
    <t>docs/fase-0-proposta-progetto.pdf</t>
  </si>
  <si>
    <t>Aggiornamento presentazione</t>
  </si>
  <si>
    <t>Pubblicata nel repository la versione aggiornata della presentazione del progetto.</t>
  </si>
  <si>
    <t>presentazioni/presentazione-v2.pptx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</si>
  <si>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</si>
  <si>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</si>
  <si>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</si>
  <si>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</si>
  <si>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</si>
  <si>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</si>
  <si>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</si>
  <si>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</si>
  <si>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</si>
  <si>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</si>
  <si>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Fase 1 — Analisi del dominio</t>
  </si>
  <si>
    <t>Con Manuel: analisi del dominio, 2 personas, Stakeholder Matrix e matrice di tracciabilità.</t>
  </si>
  <si>
    <t>docs/fase-1-analisi-dominio.md</t>
  </si>
  <si>
    <t>Fase 2 — Specifiche dei requisiti</t>
  </si>
  <si>
    <t>Con Manuel: SRS Light con requisiti funzionali (MoSCoW), requisiti non funzionali e casi d'uso.</t>
  </si>
  <si>
    <t>docs/fase-2-specifiche-requisiti.md</t>
  </si>
  <si>
    <t>Fase 3 — Architettura e user flow</t>
  </si>
  <si>
    <t>Con Manuel: casi d'uso in Mermaid, flusso delle schermate, architettura ad alto livello e diagrammi di sequenza.</t>
  </si>
  <si>
    <t>docs/fase-3-architettura-user-flow.md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</si>
</sst>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C360CF7A-F8D2-42F1-A33C-C792160E0D97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4583-A50F-4EF9-8D40-13935D8BB6E2}" name="Registro" displayName="Registro" ref="A8:E13" totalsRowShown="0" headerRowDxfId="8" dataDxfId="7">
  <autoFilter ref="A8:E13" xr:uid="{AE054583-A50F-4EF9-8D40-13935D8BB6E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8B5CA29-EC1B-4547-88A4-D993DC0EADC8}" name="Data" dataDxfId="6"/>
    <tableColumn id="2" xr3:uid="{420668F0-67D0-4D1C-B367-41B9FB7A2B44}" name="Attività" dataDxfId="5"/>
    <tableColumn id="3" xr3:uid="{37736C0A-FA98-402A-B8D0-EC941A675BD3}" name="Ore" dataDxfId="4"/>
    <tableColumn id="4" xr3:uid="{A0256299-8953-4BF5-9133-FC3A082528C4}" name="Descrizione" dataDxfId="3"/>
    <tableColumn id="5" xr3:uid="{0ECB80BB-894B-49D0-96C5-62088A04A3D0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CD44-A62D-473C-9EE2-EEC115F07A41}">
  <sheetPr>
    <pageSetUpPr fitToPage="1"/>
  </sheetPr>
  <dimension ref="A1:E13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</v>
      </c>
    </row>
    <row r="6" spans="1:5" ht="13.15" x14ac:dyDescent="0.4">
      <c r="B6" s="5" t="s">
        <v>5</v>
      </c>
      <c r="C6" s="8">
        <f>COUNTIFS(Registro[Attività],"&lt;&gt;",Registro[Ore],"")</f>
        <v>2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38.25" x14ac:dyDescent="0.35">
      <c r="A9" s="11">
        <v>46294</v>
      </c>
      <c r="B9" s="10" t="s">
        <v>12</v>
      </c>
      <c r="C9" s="12"/>
      <c r="D9" s="9" t="s">
        <v>13</v>
      </c>
      <c r="E9" s="9" t="s">
        <v>14</v>
      </c>
    </row>
    <row r="10" spans="1:5" ht="25.5" x14ac:dyDescent="0.35">
      <c r="A10" s="11">
        <v>46295</v>
      </c>
      <c r="B10" s="10" t="s">
        <v>28</v>
      </c>
      <c r="C10" s="12">
        <v>1</v>
      </c>
      <c r="D10" s="9" t="s">
        <v>29</v>
      </c>
      <c r="E10" s="9" t="s">
        <v>30</v>
      </c>
    </row>
    <row r="11" spans="1:5" ht="25.5" x14ac:dyDescent="0.35">
      <c r="A11" s="11">
        <v>46295</v>
      </c>
      <c r="B11" s="10" t="s">
        <v>31</v>
      </c>
      <c r="C11" s="12">
        <v>1</v>
      </c>
      <c r="D11" s="9" t="s">
        <v>32</v>
      </c>
      <c r="E11" s="9" t="s">
        <v>33</v>
      </c>
    </row>
    <row r="12" spans="1:5" ht="25.5" x14ac:dyDescent="0.35">
      <c r="A12" s="11">
        <v>46295</v>
      </c>
      <c r="B12" s="10" t="s">
        <v>34</v>
      </c>
      <c r="C12" s="12">
        <v>1</v>
      </c>
      <c r="D12" s="9" t="s">
        <v>35</v>
      </c>
      <c r="E12" s="9" t="s">
        <v>36</v>
      </c>
    </row>
    <row r="13" spans="1:5" ht="13.15" x14ac:dyDescent="0.35">
      <c r="A13" s="11">
        <v>46301</v>
      </c>
      <c r="B13" s="10" t="s">
        <v>15</v>
      </c>
      <c r="C13" s="12"/>
      <c r="D13" s="9" t="s">
        <v>16</v>
      </c>
      <c r="E13" s="9" t="s">
        <v>17</v>
      </c>
    </row>
  </sheetData>
  <mergeCells count="1">
    <mergeCell ref="A7:E7"/>
  </mergeCells>
  <conditionalFormatting sqref="C9:C13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3" xr:uid="{098F0742-FFAB-48A6-8604-D361C546CAF0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3" xr:uid="{14C505B7-43DA-4BD0-8687-D8FD2CC90D35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Marco Buffa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9C35-E613-4763-A568-A93915E428CB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18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19</v>
      </c>
      <c r="B3" s="32"/>
      <c r="C3" s="32"/>
      <c r="D3" s="32"/>
      <c r="E3" s="32"/>
    </row>
    <row r="5" spans="1:5" ht="22.05" customHeight="1" x14ac:dyDescent="0.35">
      <c r="A5" s="16" t="s">
        <v>20</v>
      </c>
      <c r="B5" s="16" t="s">
        <v>21</v>
      </c>
      <c r="C5" s="16" t="s">
        <v>22</v>
      </c>
      <c r="D5" s="16" t="s">
        <v>9</v>
      </c>
      <c r="E5" s="16" t="s">
        <v>23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4</v>
      </c>
      <c r="D6" s="20">
        <f>SUMIFS(Registro[Ore],Registro[Data],"&gt;="&amp;A6,Registro[Data],"&lt;="&amp;B6)</f>
        <v>3</v>
      </c>
      <c r="E6" s="20">
        <f>SUM(D$6:D6)</f>
        <v>3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1</v>
      </c>
      <c r="D7" s="23">
        <f>SUMIFS(Registro[Ore],Registro[Data],"&gt;="&amp;A7,Registro[Data],"&lt;="&amp;B7)</f>
        <v>0</v>
      </c>
      <c r="E7" s="23">
        <f>SUM(D$6:D7)</f>
        <v>3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0</v>
      </c>
      <c r="D8" s="20">
        <f>SUMIFS(Registro[Ore],Registro[Data],"&gt;="&amp;A8,Registro[Data],"&lt;="&amp;B8)</f>
        <v>0</v>
      </c>
      <c r="E8" s="20">
        <f>SUM(D$6:D8)</f>
        <v>3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</v>
      </c>
    </row>
    <row r="22" spans="1:5" ht="13.15" x14ac:dyDescent="0.4">
      <c r="A22" s="27" t="s">
        <v>24</v>
      </c>
      <c r="B22" s="28"/>
      <c r="C22" s="29">
        <f>SUM(C6:C21)</f>
        <v>5</v>
      </c>
      <c r="D22" s="30">
        <f>SUM(D6:D21)</f>
        <v>3</v>
      </c>
      <c r="E22" s="28"/>
    </row>
    <row r="24" spans="1:5" ht="13.15" x14ac:dyDescent="0.4">
      <c r="A24" s="6" t="s">
        <v>25</v>
      </c>
      <c r="B24" s="6"/>
      <c r="C24" s="6"/>
      <c r="D24" s="15">
        <f>SUM(Registro[Ore])</f>
        <v>3</v>
      </c>
    </row>
    <row r="25" spans="1:5" ht="13.15" x14ac:dyDescent="0.4">
      <c r="A25" s="6" t="s">
        <v>26</v>
      </c>
      <c r="B25" s="6"/>
      <c r="C25" s="6"/>
      <c r="D25" s="15">
        <f>D24-D22</f>
        <v>0</v>
      </c>
    </row>
    <row r="26" spans="1:5" ht="42" customHeight="1" x14ac:dyDescent="0.35">
      <c r="A26" s="31" t="s">
        <v>27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Marco Buffa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2026-10-14T11:30:14Z</dcterms:created>
  <dcterms:modified xsi:type="dcterms:W3CDTF">2026-10-14T11:42:09Z</dcterms:modified>
</cp:coreProperties>
</file>