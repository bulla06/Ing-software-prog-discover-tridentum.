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lla\Documents\Ing-software-v1\docs\libretti\"/>
    </mc:Choice>
  </mc:AlternateContent>
  <xr:revisionPtr revIDLastSave="0" documentId="13_ncr:1_{C48C8B71-EAEF-4D4F-AB1B-9708293CFCA3}" xr6:coauthVersionLast="47" xr6:coauthVersionMax="47" xr10:uidLastSave="{00000000-0000-0000-0000-000000000000}"/>
  <bookViews>
    <workbookView xWindow="-98" yWindow="-98" windowWidth="21795" windowHeight="12975" xr2:uid="{69E2A5B4-4109-48EA-BF49-3C21B144A51A}"/>
  </bookViews>
  <sheets>
    <sheet name="Libretto" sheetId="1" r:id="rId1"/>
    <sheet name="Riepilogo" sheetId="2" r:id="rId2"/>
  </sheets>
  <definedNames>
    <definedName name="_xlnm.Print_Titles" localSheetId="0">Libretto!$8:$8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2" l="1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C6" i="1"/>
  <c r="C5" i="1"/>
  <c r="C22" i="2" l="1"/>
  <c r="E19" i="2"/>
  <c r="E17" i="2"/>
  <c r="E15" i="2"/>
  <c r="E16" i="2"/>
  <c r="E20" i="2"/>
  <c r="E18" i="2"/>
  <c r="D22" i="2"/>
  <c r="D25" i="2" s="1"/>
  <c r="E21" i="2"/>
  <c r="E14" i="2"/>
  <c r="E13" i="2"/>
  <c r="E12" i="2"/>
  <c r="E11" i="2"/>
  <c r="E10" i="2"/>
  <c r="E9" i="2"/>
  <c r="E8" i="2"/>
  <c r="E7" i="2"/>
  <c r="E6" i="2"/>
</calcChain>
</file>

<file path=xl/sharedStrings.xml><?xml version="1.0" encoding="utf-8"?>
<sst xmlns="http://schemas.openxmlformats.org/spreadsheetml/2006/main" count="39" uniqueCount="37">
  <si>
    <t>Libretto delle attività</t>
  </si>
  <si>
    <t>Marco Buffa</t>
  </si>
  <si>
    <t>Progetto: Discover Tridentum — Trento Nascosta  ·  Corso: Ingegneria del Software · Prof. Paolo Giorgini · A.A. 2026-2027</t>
  </si>
  <si>
    <t>Team: Manuel Bulla · Marco Buffa · Pietro Crea  ·  Repository: github.com/bulla06/Ing-software-prog-test-v1</t>
  </si>
  <si>
    <t>Ore totali</t>
  </si>
  <si>
    <t>Voci senza ore</t>
  </si>
  <si>
    <t>Come si compila: scrivi una riga per ogni attività subito sotto l'ultima della tabella, i totali e il riepilogo si aggiornano da soli. Le ore vanno in decimali (1,5 = un'ora e mezza). Le celle gialle nella colonna Ore sono quelle ancora da inserire.</t>
  </si>
  <si>
    <t>Data</t>
  </si>
  <si>
    <t>Attività</t>
  </si>
  <si>
    <t>Ore</t>
  </si>
  <si>
    <t>Descrizione</t>
  </si>
  <si>
    <t>Risultato / file</t>
  </si>
  <si>
    <t>Fase 0 — Proposta di progetto</t>
  </si>
  <si>
    <t>Stesura del testo della proposta di progetto «Trento nascosta»: contesto turistico di Trento, problema (storia cittadina e affreschi del centro poco valorizzati e difficili da trovare), idea della guida turistica non convenzionale e funzionalità principali.</t>
  </si>
  <si>
    <t>docs/fase-0-proposta-progetto.pdf</t>
  </si>
  <si>
    <t>Aggiornamento presentazione</t>
  </si>
  <si>
    <t>Pubblicata nel repository la versione aggiornata della presentazione del progetto.</t>
  </si>
  <si>
    <t>presentazioni/presentazione-v2.pptx</t>
  </si>
  <si>
    <t>Riepilogo delle ore</t>
  </si>
  <si>
    <t>Ore e voci per settimana (da lunedì a domenica), calcolate dal foglio Libretto: qui non c'è niente da compilare. La prima settimana parte da lunedì 28/09/2026, quella in cui è nato il repository (cella in blu: si può cambiare).</t>
  </si>
  <si>
    <t>Settimana dal</t>
  </si>
  <si>
    <t>al</t>
  </si>
  <si>
    <t>Voci</t>
  </si>
  <si>
    <t>Ore cumulate</t>
  </si>
  <si>
    <t>Totale</t>
  </si>
  <si>
    <t>Ore nel Libretto</t>
  </si>
  <si>
    <t>Fuori dalle settimane elencate</t>
  </si>
  <si>
    <t>Se 'Fuori dalle settimane elencate' non è zero, ci sono voci con una data oltre l'ultima settimana: inserisci una riga sopra l'ultima settimana e copia le formule dalla riga precedente.</t>
  </si>
  <si>
    <t>Fase 1 — Analisi del dominio</t>
  </si>
  <si>
    <t>Con Manuel: analisi del dominio, 2 personas, Stakeholder Matrix e matrice di tracciabilità.</t>
  </si>
  <si>
    <t>docs/fase-1-analisi-dominio.md</t>
  </si>
  <si>
    <t>Fase 2 — Specifiche dei requisiti</t>
  </si>
  <si>
    <t>Con Manuel: SRS Light con requisiti funzionali (MoSCoW), requisiti non funzionali e casi d'uso.</t>
  </si>
  <si>
    <t>docs/fase-2-specifiche-requisiti.md</t>
  </si>
  <si>
    <t>Fase 3 — Architettura e user flow</t>
  </si>
  <si>
    <t>Con Manuel: casi d'uso in Mermaid, flusso delle schermate, architettura ad alto livello e diagrammi di sequenza.</t>
  </si>
  <si>
    <t>docs/fase-3-architettura-user-flow.md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</si>
</sst>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;\-0;&quot;-&quot;"/>
    <numFmt numFmtId="166" formatCode="0.0;\-0.0;&quot;-&quot;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8"/>
      <color rgb="FF1B2428"/>
      <name val="Arial"/>
      <family val="2"/>
    </font>
    <font>
      <b/>
      <sz val="13"/>
      <color theme="1"/>
      <name val="Arial"/>
      <family val="2"/>
    </font>
    <font>
      <sz val="10"/>
      <color rgb="FF6B6B6B"/>
      <name val="Arial"/>
      <family val="2"/>
    </font>
    <font>
      <b/>
      <sz val="10"/>
      <color theme="1"/>
      <name val="Arial"/>
      <family val="2"/>
    </font>
    <font>
      <i/>
      <sz val="10"/>
      <color rgb="FF6B6B6B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428"/>
        <bgColor indexed="64"/>
      </patternFill>
    </fill>
    <fill>
      <patternFill patternType="solid">
        <fgColor rgb="FFFBF8F3"/>
        <bgColor indexed="64"/>
      </patternFill>
    </fill>
  </fills>
  <borders count="4">
    <border>
      <left/>
      <right/>
      <top/>
      <bottom/>
      <diagonal/>
    </border>
    <border>
      <left style="thin">
        <color rgb="FFD9CFC0"/>
      </left>
      <right style="thin">
        <color rgb="FFD9CFC0"/>
      </right>
      <top style="thin">
        <color rgb="FFD9CFC0"/>
      </top>
      <bottom style="thin">
        <color rgb="FFD9CFC0"/>
      </bottom>
      <diagonal/>
    </border>
    <border>
      <left style="thin">
        <color rgb="FFD9CFC0"/>
      </left>
      <right style="thin">
        <color rgb="FFD9CFC0"/>
      </right>
      <top style="thin">
        <color rgb="FFD9CFC0"/>
      </top>
      <bottom/>
      <diagonal/>
    </border>
    <border>
      <left style="thin">
        <color rgb="FFD9CFC0"/>
      </left>
      <right style="thin">
        <color rgb="FFD9CFC0"/>
      </right>
      <top style="thin">
        <color rgb="FF1B2428"/>
      </top>
      <bottom style="thin">
        <color rgb="FFD9CFC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4" fontId="1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center" vertical="top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166" fontId="5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166" fontId="1" fillId="3" borderId="2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12">
    <dxf>
      <font>
        <b/>
        <i val="0"/>
        <color rgb="FFC00000"/>
      </font>
    </dxf>
    <dxf>
      <fill>
        <patternFill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0.0"/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B2428"/>
        </patternFill>
      </fill>
      <alignment horizontal="left" vertical="center" textRotation="0" wrapText="0" indent="0" justifyLastLine="0" shrinkToFit="0" readingOrder="0"/>
    </dxf>
    <dxf>
      <fill>
        <patternFill>
          <bgColor rgb="FFFBF8F3"/>
        </patternFill>
      </fill>
    </dxf>
    <dxf>
      <font>
        <b/>
        <i val="0"/>
        <color rgb="FFFFFFFF"/>
      </font>
      <fill>
        <patternFill>
          <bgColor rgb="FF1B2428"/>
        </patternFill>
      </fill>
    </dxf>
    <dxf>
      <border>
        <left style="thin">
          <color rgb="FFD9CFC0"/>
        </left>
        <right style="thin">
          <color rgb="FFD9CFC0"/>
        </right>
        <top style="thin">
          <color rgb="FFD9CFC0"/>
        </top>
        <bottom style="thin">
          <color rgb="FFD9CFC0"/>
        </bottom>
        <vertical style="thin">
          <color rgb="FFD9CFC0"/>
        </vertical>
        <horizontal style="thin">
          <color rgb="FFD9CFC0"/>
        </horizontal>
      </border>
    </dxf>
  </dxfs>
  <tableStyles count="1" defaultTableStyle="TableStyleMedium2" defaultPivotStyle="PivotStyleLight16">
    <tableStyle name="Libretto" pivot="0" count="3" xr9:uid="{C360CF7A-F8D2-42F1-A33C-C792160E0D97}">
      <tableStyleElement type="wholeTable" dxfId="11"/>
      <tableStyleElement type="headerRow" dxfId="10"/>
      <tableStyleElement type="first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54583-A50F-4EF9-8D40-13935D8BB6E2}" name="Registro" displayName="Registro" ref="A8:E13" totalsRowShown="0" headerRowDxfId="8" dataDxfId="7">
  <autoFilter ref="A8:E13" xr:uid="{AE054583-A50F-4EF9-8D40-13935D8BB6E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8B5CA29-EC1B-4547-88A4-D993DC0EADC8}" name="Data" dataDxfId="6"/>
    <tableColumn id="2" xr3:uid="{420668F0-67D0-4D1C-B367-41B9FB7A2B44}" name="Attività" dataDxfId="5"/>
    <tableColumn id="3" xr3:uid="{37736C0A-FA98-402A-B8D0-EC941A675BD3}" name="Ore" dataDxfId="4"/>
    <tableColumn id="4" xr3:uid="{A0256299-8953-4BF5-9133-FC3A082528C4}" name="Descrizione" dataDxfId="3"/>
    <tableColumn id="5" xr3:uid="{0ECB80BB-894B-49D0-96C5-62088A04A3D0}" name="Risultato / file" dataDxfId="2"/>
  </tableColumns>
  <tableStyleInfo name="Libretto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CD44-A62D-473C-9EE2-EEC115F07A41}">
  <sheetPr>
    <pageSetUpPr fitToPage="1"/>
  </sheetPr>
  <dimension ref="A1:E13"/>
  <sheetViews>
    <sheetView showGridLines="0" tabSelected="1" workbookViewId="0">
      <pane ySplit="8" topLeftCell="A9" activePane="bottomLeft" state="frozen"/>
      <selection pane="bottomLeft"/>
    </sheetView>
  </sheetViews>
  <sheetFormatPr defaultRowHeight="12.75" x14ac:dyDescent="0.35"/>
  <cols>
    <col min="1" max="1" width="12.59765625" style="1" customWidth="1"/>
    <col min="2" max="2" width="30.59765625" style="1" customWidth="1"/>
    <col min="3" max="3" width="8.59765625" style="1" customWidth="1"/>
    <col min="4" max="4" width="72.59765625" style="1" customWidth="1"/>
    <col min="5" max="5" width="40.59765625" style="1" customWidth="1"/>
    <col min="6" max="16384" width="9.06640625" style="1"/>
  </cols>
  <sheetData>
    <row r="1" spans="1:5" ht="26" customHeight="1" x14ac:dyDescent="0.6">
      <c r="A1" s="2" t="s">
        <v>0</v>
      </c>
    </row>
    <row r="2" spans="1:5" ht="16.899999999999999" x14ac:dyDescent="0.5">
      <c r="A2" s="3" t="s">
        <v>1</v>
      </c>
    </row>
    <row r="3" spans="1:5" x14ac:dyDescent="0.35">
      <c r="A3" s="4" t="s">
        <v>2</v>
      </c>
    </row>
    <row r="4" spans="1:5" x14ac:dyDescent="0.35">
      <c r="A4" s="4" t="s">
        <v>3</v>
      </c>
    </row>
    <row r="5" spans="1:5" ht="13.15" x14ac:dyDescent="0.4">
      <c r="B5" s="5" t="s">
        <v>4</v>
      </c>
      <c r="C5" s="7">
        <f>SUM(Registro[Ore])</f>
        <v>6</v>
      </c>
    </row>
    <row r="6" spans="1:5" ht="13.15" x14ac:dyDescent="0.4">
      <c r="B6" s="5" t="s">
        <v>5</v>
      </c>
      <c r="C6" s="8">
        <f>COUNTIFS(Registro[Attività],"&lt;&gt;",Registro[Ore],"")</f>
        <v>2</v>
      </c>
    </row>
    <row r="7" spans="1:5" ht="30" customHeight="1" x14ac:dyDescent="0.35">
      <c r="A7" s="31" t="s">
        <v>6</v>
      </c>
      <c r="B7" s="32"/>
      <c r="C7" s="32"/>
      <c r="D7" s="32"/>
      <c r="E7" s="32"/>
    </row>
    <row r="8" spans="1:5" ht="22.05" customHeight="1" x14ac:dyDescent="0.35">
      <c r="A8" s="13" t="s">
        <v>7</v>
      </c>
      <c r="B8" s="13" t="s">
        <v>8</v>
      </c>
      <c r="C8" s="14" t="s">
        <v>9</v>
      </c>
      <c r="D8" s="13" t="s">
        <v>10</v>
      </c>
      <c r="E8" s="13" t="s">
        <v>11</v>
      </c>
    </row>
    <row r="9" spans="1:5" ht="38.25" x14ac:dyDescent="0.35">
      <c r="A9" s="11">
        <v>46294</v>
      </c>
      <c r="B9" s="10" t="s">
        <v>12</v>
      </c>
      <c r="C9" s="12"/>
      <c r="D9" s="9" t="s">
        <v>13</v>
      </c>
      <c r="E9" s="9" t="s">
        <v>14</v>
      </c>
    </row>
    <row r="10" spans="1:5" ht="25.5" x14ac:dyDescent="0.35">
      <c r="A10" s="11">
        <v>46295</v>
      </c>
      <c r="B10" s="10" t="s">
        <v>28</v>
      </c>
      <c r="C10" s="12">
        <v>1</v>
      </c>
      <c r="D10" s="9" t="s">
        <v>29</v>
      </c>
      <c r="E10" s="9" t="s">
        <v>30</v>
      </c>
    </row>
    <row r="11" spans="1:5" ht="25.5" x14ac:dyDescent="0.35">
      <c r="A11" s="11">
        <v>46295</v>
      </c>
      <c r="B11" s="10" t="s">
        <v>31</v>
      </c>
      <c r="C11" s="12">
        <v>2.5</v>
      </c>
      <c r="D11" s="9" t="s">
        <v>32</v>
      </c>
      <c r="E11" s="9" t="s">
        <v>33</v>
      </c>
    </row>
    <row r="12" spans="1:5" ht="25.5" x14ac:dyDescent="0.35">
      <c r="A12" s="11">
        <v>46295</v>
      </c>
      <c r="B12" s="10" t="s">
        <v>34</v>
      </c>
      <c r="C12" s="12">
        <v>2.5</v>
      </c>
      <c r="D12" s="9" t="s">
        <v>35</v>
      </c>
      <c r="E12" s="9" t="s">
        <v>36</v>
      </c>
    </row>
    <row r="13" spans="1:5" ht="13.15" x14ac:dyDescent="0.35">
      <c r="A13" s="11">
        <v>46301</v>
      </c>
      <c r="B13" s="10" t="s">
        <v>15</v>
      </c>
      <c r="C13" s="12"/>
      <c r="D13" s="9" t="s">
        <v>16</v>
      </c>
      <c r="E13" s="9" t="s">
        <v>17</v>
      </c>
    </row>
  </sheetData>
  <mergeCells count="1">
    <mergeCell ref="A7:E7"/>
  </mergeCells>
  <conditionalFormatting sqref="C9:C13">
    <cfRule type="expression" dxfId="1" priority="1" stopIfTrue="1">
      <formula>($B9&lt;&gt;"")*($C9="")</formula>
    </cfRule>
  </conditionalFormatting>
  <dataValidations count="2">
    <dataValidation type="date" allowBlank="1" showInputMessage="1" showErrorMessage="1" errorTitle="Data non valida" error="Scrivi la data come gg/mm/aaaa, per esempio 14/10/2026." sqref="A9:A13" xr:uid="{098F0742-FFAB-48A6-8604-D361C546CAF0}">
      <formula1>46023</formula1>
      <formula2>47483</formula2>
    </dataValidation>
    <dataValidation type="decimal" allowBlank="1" showInputMessage="1" showErrorMessage="1" errorTitle="Ore non valide" error="Scrivi le ore come numero tra 0 e 24 (1,5 = un'ora e mezza)." promptTitle="Ore dedicate" prompt="Numero di ore, anche decimale: 1,5 = un'ora e mezza." sqref="C9:C13" xr:uid="{14C505B7-43DA-4BD0-8687-D8FD2CC90D35}">
      <formula1>0</formula1>
      <formula2>24</formula2>
    </dataValidation>
  </dataValidations>
  <pageMargins left="0.59055118110236215" right="0.59055118110236215" top="0.75" bottom="0.75" header="0.3" footer="0.3"/>
  <pageSetup paperSize="9" scale="81" fitToHeight="0" orientation="landscape" r:id="rId1"/>
  <headerFooter>
    <oddFooter>&amp;CLibretto attività · Marco Buffa · pag.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9C35-E613-4763-A568-A93915E428CB}">
  <sheetPr>
    <pageSetUpPr fitToPage="1"/>
  </sheetPr>
  <dimension ref="A1:E26"/>
  <sheetViews>
    <sheetView showGridLines="0" workbookViewId="0"/>
  </sheetViews>
  <sheetFormatPr defaultRowHeight="12.75" x14ac:dyDescent="0.35"/>
  <cols>
    <col min="1" max="1" width="16.59765625" style="1" customWidth="1"/>
    <col min="2" max="2" width="14.59765625" style="1" customWidth="1"/>
    <col min="3" max="3" width="10.59765625" style="1" customWidth="1"/>
    <col min="4" max="4" width="12.59765625" style="1" customWidth="1"/>
    <col min="5" max="5" width="16.59765625" style="1" customWidth="1"/>
    <col min="6" max="16384" width="9.06640625" style="1"/>
  </cols>
  <sheetData>
    <row r="1" spans="1:5" ht="26" customHeight="1" x14ac:dyDescent="0.6">
      <c r="A1" s="2" t="s">
        <v>18</v>
      </c>
    </row>
    <row r="2" spans="1:5" ht="16.899999999999999" x14ac:dyDescent="0.5">
      <c r="A2" s="3" t="s">
        <v>1</v>
      </c>
    </row>
    <row r="3" spans="1:5" ht="42" customHeight="1" x14ac:dyDescent="0.35">
      <c r="A3" s="31" t="s">
        <v>19</v>
      </c>
      <c r="B3" s="32"/>
      <c r="C3" s="32"/>
      <c r="D3" s="32"/>
      <c r="E3" s="32"/>
    </row>
    <row r="5" spans="1:5" ht="22.05" customHeight="1" x14ac:dyDescent="0.35">
      <c r="A5" s="16" t="s">
        <v>20</v>
      </c>
      <c r="B5" s="16" t="s">
        <v>21</v>
      </c>
      <c r="C5" s="16" t="s">
        <v>22</v>
      </c>
      <c r="D5" s="16" t="s">
        <v>9</v>
      </c>
      <c r="E5" s="16" t="s">
        <v>23</v>
      </c>
    </row>
    <row r="6" spans="1:5" x14ac:dyDescent="0.35">
      <c r="A6" s="17">
        <v>46293</v>
      </c>
      <c r="B6" s="18">
        <f t="shared" ref="B6:B21" si="0">A6+6</f>
        <v>46299</v>
      </c>
      <c r="C6" s="19">
        <f>COUNTIFS(Registro[Data],"&gt;="&amp;A6,Registro[Data],"&lt;="&amp;B6)</f>
        <v>4</v>
      </c>
      <c r="D6" s="20">
        <f>SUMIFS(Registro[Ore],Registro[Data],"&gt;="&amp;A6,Registro[Data],"&lt;="&amp;B6)</f>
        <v>6</v>
      </c>
      <c r="E6" s="20">
        <f>SUM(D$6:D6)</f>
        <v>6</v>
      </c>
    </row>
    <row r="7" spans="1:5" x14ac:dyDescent="0.35">
      <c r="A7" s="21">
        <f t="shared" ref="A7:A21" si="1">A6+7</f>
        <v>46300</v>
      </c>
      <c r="B7" s="21">
        <f t="shared" si="0"/>
        <v>46306</v>
      </c>
      <c r="C7" s="22">
        <f>COUNTIFS(Registro[Data],"&gt;="&amp;A7,Registro[Data],"&lt;="&amp;B7)</f>
        <v>1</v>
      </c>
      <c r="D7" s="23">
        <f>SUMIFS(Registro[Ore],Registro[Data],"&gt;="&amp;A7,Registro[Data],"&lt;="&amp;B7)</f>
        <v>0</v>
      </c>
      <c r="E7" s="23">
        <f>SUM(D$6:D7)</f>
        <v>6</v>
      </c>
    </row>
    <row r="8" spans="1:5" x14ac:dyDescent="0.35">
      <c r="A8" s="18">
        <f t="shared" si="1"/>
        <v>46307</v>
      </c>
      <c r="B8" s="18">
        <f t="shared" si="0"/>
        <v>46313</v>
      </c>
      <c r="C8" s="19">
        <f>COUNTIFS(Registro[Data],"&gt;="&amp;A8,Registro[Data],"&lt;="&amp;B8)</f>
        <v>0</v>
      </c>
      <c r="D8" s="20">
        <f>SUMIFS(Registro[Ore],Registro[Data],"&gt;="&amp;A8,Registro[Data],"&lt;="&amp;B8)</f>
        <v>0</v>
      </c>
      <c r="E8" s="20">
        <f>SUM(D$6:D8)</f>
        <v>6</v>
      </c>
    </row>
    <row r="9" spans="1:5" x14ac:dyDescent="0.35">
      <c r="A9" s="21">
        <f t="shared" si="1"/>
        <v>46314</v>
      </c>
      <c r="B9" s="21">
        <f t="shared" si="0"/>
        <v>46320</v>
      </c>
      <c r="C9" s="22">
        <f>COUNTIFS(Registro[Data],"&gt;="&amp;A9,Registro[Data],"&lt;="&amp;B9)</f>
        <v>0</v>
      </c>
      <c r="D9" s="23">
        <f>SUMIFS(Registro[Ore],Registro[Data],"&gt;="&amp;A9,Registro[Data],"&lt;="&amp;B9)</f>
        <v>0</v>
      </c>
      <c r="E9" s="23">
        <f>SUM(D$6:D9)</f>
        <v>6</v>
      </c>
    </row>
    <row r="10" spans="1:5" x14ac:dyDescent="0.35">
      <c r="A10" s="18">
        <f t="shared" si="1"/>
        <v>46321</v>
      </c>
      <c r="B10" s="18">
        <f t="shared" si="0"/>
        <v>46327</v>
      </c>
      <c r="C10" s="19">
        <f>COUNTIFS(Registro[Data],"&gt;="&amp;A10,Registro[Data],"&lt;="&amp;B10)</f>
        <v>0</v>
      </c>
      <c r="D10" s="20">
        <f>SUMIFS(Registro[Ore],Registro[Data],"&gt;="&amp;A10,Registro[Data],"&lt;="&amp;B10)</f>
        <v>0</v>
      </c>
      <c r="E10" s="20">
        <f>SUM(D$6:D10)</f>
        <v>6</v>
      </c>
    </row>
    <row r="11" spans="1:5" x14ac:dyDescent="0.35">
      <c r="A11" s="21">
        <f t="shared" si="1"/>
        <v>46328</v>
      </c>
      <c r="B11" s="21">
        <f t="shared" si="0"/>
        <v>46334</v>
      </c>
      <c r="C11" s="22">
        <f>COUNTIFS(Registro[Data],"&gt;="&amp;A11,Registro[Data],"&lt;="&amp;B11)</f>
        <v>0</v>
      </c>
      <c r="D11" s="23">
        <f>SUMIFS(Registro[Ore],Registro[Data],"&gt;="&amp;A11,Registro[Data],"&lt;="&amp;B11)</f>
        <v>0</v>
      </c>
      <c r="E11" s="23">
        <f>SUM(D$6:D11)</f>
        <v>6</v>
      </c>
    </row>
    <row r="12" spans="1:5" x14ac:dyDescent="0.35">
      <c r="A12" s="18">
        <f t="shared" si="1"/>
        <v>46335</v>
      </c>
      <c r="B12" s="18">
        <f t="shared" si="0"/>
        <v>46341</v>
      </c>
      <c r="C12" s="19">
        <f>COUNTIFS(Registro[Data],"&gt;="&amp;A12,Registro[Data],"&lt;="&amp;B12)</f>
        <v>0</v>
      </c>
      <c r="D12" s="20">
        <f>SUMIFS(Registro[Ore],Registro[Data],"&gt;="&amp;A12,Registro[Data],"&lt;="&amp;B12)</f>
        <v>0</v>
      </c>
      <c r="E12" s="20">
        <f>SUM(D$6:D12)</f>
        <v>6</v>
      </c>
    </row>
    <row r="13" spans="1:5" x14ac:dyDescent="0.35">
      <c r="A13" s="21">
        <f t="shared" si="1"/>
        <v>46342</v>
      </c>
      <c r="B13" s="21">
        <f t="shared" si="0"/>
        <v>46348</v>
      </c>
      <c r="C13" s="22">
        <f>COUNTIFS(Registro[Data],"&gt;="&amp;A13,Registro[Data],"&lt;="&amp;B13)</f>
        <v>0</v>
      </c>
      <c r="D13" s="23">
        <f>SUMIFS(Registro[Ore],Registro[Data],"&gt;="&amp;A13,Registro[Data],"&lt;="&amp;B13)</f>
        <v>0</v>
      </c>
      <c r="E13" s="23">
        <f>SUM(D$6:D13)</f>
        <v>6</v>
      </c>
    </row>
    <row r="14" spans="1:5" x14ac:dyDescent="0.35">
      <c r="A14" s="18">
        <f t="shared" si="1"/>
        <v>46349</v>
      </c>
      <c r="B14" s="18">
        <f t="shared" si="0"/>
        <v>46355</v>
      </c>
      <c r="C14" s="19">
        <f>COUNTIFS(Registro[Data],"&gt;="&amp;A14,Registro[Data],"&lt;="&amp;B14)</f>
        <v>0</v>
      </c>
      <c r="D14" s="20">
        <f>SUMIFS(Registro[Ore],Registro[Data],"&gt;="&amp;A14,Registro[Data],"&lt;="&amp;B14)</f>
        <v>0</v>
      </c>
      <c r="E14" s="20">
        <f>SUM(D$6:D14)</f>
        <v>6</v>
      </c>
    </row>
    <row r="15" spans="1:5" x14ac:dyDescent="0.35">
      <c r="A15" s="21">
        <f t="shared" si="1"/>
        <v>46356</v>
      </c>
      <c r="B15" s="21">
        <f t="shared" si="0"/>
        <v>46362</v>
      </c>
      <c r="C15" s="22">
        <f>COUNTIFS(Registro[Data],"&gt;="&amp;A15,Registro[Data],"&lt;="&amp;B15)</f>
        <v>0</v>
      </c>
      <c r="D15" s="23">
        <f>SUMIFS(Registro[Ore],Registro[Data],"&gt;="&amp;A15,Registro[Data],"&lt;="&amp;B15)</f>
        <v>0</v>
      </c>
      <c r="E15" s="23">
        <f>SUM(D$6:D15)</f>
        <v>6</v>
      </c>
    </row>
    <row r="16" spans="1:5" x14ac:dyDescent="0.35">
      <c r="A16" s="18">
        <f t="shared" si="1"/>
        <v>46363</v>
      </c>
      <c r="B16" s="18">
        <f t="shared" si="0"/>
        <v>46369</v>
      </c>
      <c r="C16" s="19">
        <f>COUNTIFS(Registro[Data],"&gt;="&amp;A16,Registro[Data],"&lt;="&amp;B16)</f>
        <v>0</v>
      </c>
      <c r="D16" s="20">
        <f>SUMIFS(Registro[Ore],Registro[Data],"&gt;="&amp;A16,Registro[Data],"&lt;="&amp;B16)</f>
        <v>0</v>
      </c>
      <c r="E16" s="20">
        <f>SUM(D$6:D16)</f>
        <v>6</v>
      </c>
    </row>
    <row r="17" spans="1:5" x14ac:dyDescent="0.35">
      <c r="A17" s="21">
        <f t="shared" si="1"/>
        <v>46370</v>
      </c>
      <c r="B17" s="21">
        <f t="shared" si="0"/>
        <v>46376</v>
      </c>
      <c r="C17" s="22">
        <f>COUNTIFS(Registro[Data],"&gt;="&amp;A17,Registro[Data],"&lt;="&amp;B17)</f>
        <v>0</v>
      </c>
      <c r="D17" s="23">
        <f>SUMIFS(Registro[Ore],Registro[Data],"&gt;="&amp;A17,Registro[Data],"&lt;="&amp;B17)</f>
        <v>0</v>
      </c>
      <c r="E17" s="23">
        <f>SUM(D$6:D17)</f>
        <v>6</v>
      </c>
    </row>
    <row r="18" spans="1:5" x14ac:dyDescent="0.35">
      <c r="A18" s="18">
        <f t="shared" si="1"/>
        <v>46377</v>
      </c>
      <c r="B18" s="18">
        <f t="shared" si="0"/>
        <v>46383</v>
      </c>
      <c r="C18" s="19">
        <f>COUNTIFS(Registro[Data],"&gt;="&amp;A18,Registro[Data],"&lt;="&amp;B18)</f>
        <v>0</v>
      </c>
      <c r="D18" s="20">
        <f>SUMIFS(Registro[Ore],Registro[Data],"&gt;="&amp;A18,Registro[Data],"&lt;="&amp;B18)</f>
        <v>0</v>
      </c>
      <c r="E18" s="20">
        <f>SUM(D$6:D18)</f>
        <v>6</v>
      </c>
    </row>
    <row r="19" spans="1:5" x14ac:dyDescent="0.35">
      <c r="A19" s="21">
        <f t="shared" si="1"/>
        <v>46384</v>
      </c>
      <c r="B19" s="21">
        <f t="shared" si="0"/>
        <v>46390</v>
      </c>
      <c r="C19" s="22">
        <f>COUNTIFS(Registro[Data],"&gt;="&amp;A19,Registro[Data],"&lt;="&amp;B19)</f>
        <v>0</v>
      </c>
      <c r="D19" s="23">
        <f>SUMIFS(Registro[Ore],Registro[Data],"&gt;="&amp;A19,Registro[Data],"&lt;="&amp;B19)</f>
        <v>0</v>
      </c>
      <c r="E19" s="23">
        <f>SUM(D$6:D19)</f>
        <v>6</v>
      </c>
    </row>
    <row r="20" spans="1:5" x14ac:dyDescent="0.35">
      <c r="A20" s="18">
        <f t="shared" si="1"/>
        <v>46391</v>
      </c>
      <c r="B20" s="18">
        <f t="shared" si="0"/>
        <v>46397</v>
      </c>
      <c r="C20" s="19">
        <f>COUNTIFS(Registro[Data],"&gt;="&amp;A20,Registro[Data],"&lt;="&amp;B20)</f>
        <v>0</v>
      </c>
      <c r="D20" s="20">
        <f>SUMIFS(Registro[Ore],Registro[Data],"&gt;="&amp;A20,Registro[Data],"&lt;="&amp;B20)</f>
        <v>0</v>
      </c>
      <c r="E20" s="20">
        <f>SUM(D$6:D20)</f>
        <v>6</v>
      </c>
    </row>
    <row r="21" spans="1:5" x14ac:dyDescent="0.35">
      <c r="A21" s="24">
        <f t="shared" si="1"/>
        <v>46398</v>
      </c>
      <c r="B21" s="24">
        <f t="shared" si="0"/>
        <v>46404</v>
      </c>
      <c r="C21" s="25">
        <f>COUNTIFS(Registro[Data],"&gt;="&amp;A21,Registro[Data],"&lt;="&amp;B21)</f>
        <v>0</v>
      </c>
      <c r="D21" s="26">
        <f>SUMIFS(Registro[Ore],Registro[Data],"&gt;="&amp;A21,Registro[Data],"&lt;="&amp;B21)</f>
        <v>0</v>
      </c>
      <c r="E21" s="26">
        <f>SUM(D$6:D21)</f>
        <v>6</v>
      </c>
    </row>
    <row r="22" spans="1:5" ht="13.15" x14ac:dyDescent="0.4">
      <c r="A22" s="27" t="s">
        <v>24</v>
      </c>
      <c r="B22" s="28"/>
      <c r="C22" s="29">
        <f>SUM(C6:C21)</f>
        <v>5</v>
      </c>
      <c r="D22" s="30">
        <f>SUM(D6:D21)</f>
        <v>6</v>
      </c>
      <c r="E22" s="28"/>
    </row>
    <row r="24" spans="1:5" ht="13.15" x14ac:dyDescent="0.4">
      <c r="A24" s="6" t="s">
        <v>25</v>
      </c>
      <c r="B24" s="6"/>
      <c r="C24" s="6"/>
      <c r="D24" s="15">
        <f>SUM(Registro[Ore])</f>
        <v>6</v>
      </c>
    </row>
    <row r="25" spans="1:5" ht="13.15" x14ac:dyDescent="0.4">
      <c r="A25" s="6" t="s">
        <v>26</v>
      </c>
      <c r="B25" s="6"/>
      <c r="C25" s="6"/>
      <c r="D25" s="15">
        <f>D24-D22</f>
        <v>0</v>
      </c>
    </row>
    <row r="26" spans="1:5" ht="42" customHeight="1" x14ac:dyDescent="0.35">
      <c r="A26" s="31" t="s">
        <v>27</v>
      </c>
      <c r="B26" s="32"/>
      <c r="C26" s="32"/>
      <c r="D26" s="32"/>
      <c r="E26" s="32"/>
    </row>
  </sheetData>
  <mergeCells count="2">
    <mergeCell ref="A3:E3"/>
    <mergeCell ref="A26:E26"/>
  </mergeCells>
  <conditionalFormatting sqref="D25">
    <cfRule type="cellIs" dxfId="0" priority="1" stopIfTrue="1" operator="notEqual">
      <formula>0</formula>
    </cfRule>
  </conditionalFormatting>
  <pageMargins left="0.7" right="0.7" top="0.75" bottom="0.75" header="0.3" footer="0.3"/>
  <pageSetup paperSize="9" orientation="portrait" r:id="rId1"/>
  <headerFooter>
    <oddFooter>&amp;CLibretto attività · Marco Buffa · pag.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Libretto</vt:lpstr>
      <vt:lpstr>Riepilogo</vt:lpstr>
      <vt:lpstr>Libretto!Titoli_stampa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Bulla, Manuel</dc:creator>
  <cp:lastModifiedBy>Bulla, Manuel</cp:lastModifiedBy>
  <dcterms:created xsi:type="dcterms:W3CDTF">2026-10-14T11:30:14Z</dcterms:created>
  <dcterms:modified xsi:type="dcterms:W3CDTF">2026-10-14T11:42:56Z</dcterms:modified>
</cp:coreProperties>
</file>