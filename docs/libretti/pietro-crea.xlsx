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660" tabRatio="500" firstSheet="0" activeTab="0" autoFilterDateGrouping="1"/>
  </bookViews>
  <sheets>
    <sheet name="Libretto" sheetId="1" state="visible" r:id="rId1"/>
    <sheet name="Riepilogo" sheetId="2" state="visible" r:id="rId2"/>
  </sheets>
  <definedNames>
    <definedName name="_xlnm.Print_Titles" localSheetId="0">'Libretto'!$8:$8</definedName>
  </definedNames>
  <calcPr calcId="181029" fullCalcOnLoad="1" iterateDelta="0.0001"/>
</workbook>
</file>

<file path=xl/styles.xml><?xml version="1.0" encoding="utf-8"?>
<styleSheet xmlns="http://schemas.openxmlformats.org/spreadsheetml/2006/main">
  <numFmts count="4">
    <numFmt numFmtId="164" formatCode="0.0"/>
    <numFmt numFmtId="165" formatCode="m/d/yyyy"/>
    <numFmt numFmtId="166" formatCode="0;\-0;\-"/>
    <numFmt numFmtId="167" formatCode="0.0;\-0.0;\-"/>
  </numFmts>
  <fonts count="9">
    <font>
      <name val="Aptos Narrow"/>
      <charset val="1"/>
      <family val="2"/>
      <color theme="1"/>
      <sz val="11"/>
    </font>
    <font>
      <name val="Arial"/>
      <charset val="1"/>
      <family val="2"/>
      <color theme="1"/>
      <sz val="10"/>
    </font>
    <font>
      <name val="Arial"/>
      <charset val="1"/>
      <family val="2"/>
      <b val="1"/>
      <color rgb="FF1B2428"/>
      <sz val="18"/>
    </font>
    <font>
      <name val="Arial"/>
      <charset val="1"/>
      <family val="2"/>
      <b val="1"/>
      <color theme="1"/>
      <sz val="13"/>
    </font>
    <font>
      <name val="Arial"/>
      <charset val="1"/>
      <family val="2"/>
      <color rgb="FF6B6B6B"/>
      <sz val="10"/>
    </font>
    <font>
      <name val="Arial"/>
      <charset val="1"/>
      <family val="2"/>
      <b val="1"/>
      <color theme="1"/>
      <sz val="10"/>
    </font>
    <font>
      <name val="Arial"/>
      <charset val="1"/>
      <family val="2"/>
      <i val="1"/>
      <color rgb="FF6B6B6B"/>
      <sz val="10"/>
    </font>
    <font>
      <name val="Arial"/>
      <charset val="1"/>
      <family val="2"/>
      <b val="1"/>
      <color rgb="FFFFFFFF"/>
      <sz val="10"/>
    </font>
    <font>
      <name val="Arial"/>
      <charset val="1"/>
      <family val="2"/>
      <color rgb="FF0000FF"/>
      <sz val="10"/>
    </font>
  </fonts>
  <fills count="4">
    <fill>
      <patternFill/>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right"/>
    </xf>
    <xf numFmtId="164" fontId="5" fillId="0" borderId="0" applyAlignment="1" pivotButton="0" quotePrefix="0" xfId="0">
      <alignment horizontal="center"/>
    </xf>
    <xf numFmtId="1" fontId="5" fillId="0" borderId="0" applyAlignment="1" pivotButton="0" quotePrefix="0" xfId="0">
      <alignment horizontal="center"/>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5" fillId="0" borderId="0" applyAlignment="1" pivotButton="0" quotePrefix="0" xfId="0">
      <alignment vertical="top" wrapText="1"/>
    </xf>
    <xf numFmtId="164" fontId="8" fillId="0" borderId="0" applyAlignment="1" pivotButton="0" quotePrefix="0" xfId="0">
      <alignment horizontal="center" vertical="top"/>
    </xf>
    <xf numFmtId="0" fontId="1" fillId="0" borderId="0" applyAlignment="1" pivotButton="0" quotePrefix="0" xfId="0">
      <alignment vertical="top" wrapText="1"/>
    </xf>
    <xf numFmtId="0" fontId="7" fillId="2" borderId="1" applyAlignment="1" pivotButton="0" quotePrefix="0" xfId="0">
      <alignment horizontal="center" vertical="center"/>
    </xf>
    <xf numFmtId="165" fontId="8" fillId="0" borderId="1" applyAlignment="1" pivotButton="0" quotePrefix="0" xfId="0">
      <alignment horizontal="center"/>
    </xf>
    <xf numFmtId="165" fontId="1" fillId="0" borderId="1" applyAlignment="1" pivotButton="0" quotePrefix="0" xfId="0">
      <alignment horizontal="center"/>
    </xf>
    <xf numFmtId="166" fontId="1" fillId="0" borderId="1" applyAlignment="1" pivotButton="0" quotePrefix="0" xfId="0">
      <alignment horizontal="center"/>
    </xf>
    <xf numFmtId="167" fontId="1" fillId="0" borderId="1" applyAlignment="1" pivotButton="0" quotePrefix="0" xfId="0">
      <alignment horizontal="center"/>
    </xf>
    <xf numFmtId="165" fontId="1" fillId="3" borderId="1" applyAlignment="1" pivotButton="0" quotePrefix="0" xfId="0">
      <alignment horizontal="center"/>
    </xf>
    <xf numFmtId="166" fontId="1" fillId="3" borderId="1" applyAlignment="1" pivotButton="0" quotePrefix="0" xfId="0">
      <alignment horizontal="center"/>
    </xf>
    <xf numFmtId="167" fontId="1" fillId="3" borderId="1" applyAlignment="1" pivotButton="0" quotePrefix="0" xfId="0">
      <alignment horizontal="center"/>
    </xf>
    <xf numFmtId="165" fontId="1" fillId="3" borderId="2" applyAlignment="1" pivotButton="0" quotePrefix="0" xfId="0">
      <alignment horizontal="center"/>
    </xf>
    <xf numFmtId="166" fontId="1" fillId="3" borderId="2" applyAlignment="1" pivotButton="0" quotePrefix="0" xfId="0">
      <alignment horizontal="center"/>
    </xf>
    <xf numFmtId="167" fontId="1" fillId="3" borderId="2" applyAlignment="1" pivotButton="0" quotePrefix="0" xfId="0">
      <alignment horizontal="center"/>
    </xf>
    <xf numFmtId="0" fontId="5" fillId="0" borderId="3" applyAlignment="1" pivotButton="0" quotePrefix="0" xfId="0">
      <alignment horizontal="left"/>
    </xf>
    <xf numFmtId="0" fontId="5" fillId="0" borderId="3" applyAlignment="1" pivotButton="0" quotePrefix="0" xfId="0">
      <alignment horizontal="center"/>
    </xf>
    <xf numFmtId="166" fontId="5" fillId="0" borderId="3" applyAlignment="1" pivotButton="0" quotePrefix="0" xfId="0">
      <alignment horizontal="center"/>
    </xf>
    <xf numFmtId="167" fontId="5" fillId="0" borderId="3" applyAlignment="1" pivotButton="0" quotePrefix="0" xfId="0">
      <alignment horizontal="center"/>
    </xf>
    <xf numFmtId="0" fontId="5" fillId="0" borderId="0" pivotButton="0" quotePrefix="0" xfId="0"/>
    <xf numFmtId="167" fontId="5" fillId="0" borderId="0" applyAlignment="1" pivotButton="0" quotePrefix="0" xfId="0">
      <alignment horizontal="center"/>
    </xf>
    <xf numFmtId="14" fontId="1" fillId="0" borderId="0" applyAlignment="1" pivotButton="0" quotePrefix="0" xfId="0">
      <alignment horizontal="left" vertical="top"/>
    </xf>
    <xf numFmtId="0" fontId="6" fillId="0" borderId="0" applyAlignment="1" pivotButton="0" quotePrefix="0" xfId="0">
      <alignment vertical="top" wrapText="1"/>
    </xf>
    <xf numFmtId="0" fontId="1" fillId="0" borderId="0" pivotButton="0" quotePrefix="0" xfId="0"/>
  </cellXfs>
  <cellStyles count="1">
    <cellStyle name="Normale" xfId="0" builtinId="0"/>
  </cellStyles>
  <dxfs count="3">
    <dxf>
      <font>
        <b val="1"/>
        <color rgb="FFC00000"/>
      </font>
    </dxf>
    <dxf>
      <fill>
        <patternFill>
          <bgColor rgb="FFFFF2CC"/>
        </patternFill>
      </fill>
    </dxf>
    <dxf>
      <numFmt numFmtId="168" formatCode="dd/mm/yyyy"/>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Registro" displayName="Registro" ref="A8:E17" headerRowCount="1" totalsRowShown="0">
  <autoFilter ref="A8:E17">
    <filterColumn colId="0" hiddenButton="1" showButton="1"/>
    <filterColumn colId="1" hiddenButton="1" showButton="1"/>
    <filterColumn colId="2" hiddenButton="1" showButton="1"/>
    <filterColumn colId="3" hiddenButton="1" showButton="1"/>
    <filterColumn colId="4" hiddenButton="1" showButton="1"/>
  </autoFilter>
  <tableColumns count="5">
    <tableColumn id="1" name="Data" dataDxfId="2"/>
    <tableColumn id="2" name="Attività"/>
    <tableColumn id="3" name="Ore"/>
    <tableColumn id="4" name="Descrizione"/>
    <tableColumn id="5"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fitToPage="1"/>
  </sheetPr>
  <dimension ref="A1:E18"/>
  <sheetViews>
    <sheetView showGridLines="0" tabSelected="1" zoomScaleNormal="100" workbookViewId="0">
      <pane ySplit="8" topLeftCell="A9" activePane="bottomLeft" state="frozen"/>
      <selection pane="bottomLeft" activeCell="D14" sqref="D14"/>
    </sheetView>
  </sheetViews>
  <sheetFormatPr baseColWidth="10" defaultColWidth="9" defaultRowHeight="13"/>
  <cols>
    <col width="12.6640625" customWidth="1" style="32" min="1" max="1"/>
    <col width="30.6640625" customWidth="1" style="32" min="2" max="2"/>
    <col width="8.6640625" customWidth="1" style="32" min="3" max="3"/>
    <col width="72.6640625" customWidth="1" style="32" min="4" max="4"/>
    <col width="40.6640625" customWidth="1" style="32" min="5" max="5"/>
    <col width="9" customWidth="1" style="32" min="6" max="7"/>
    <col width="9" customWidth="1" style="32" min="8" max="16384"/>
  </cols>
  <sheetData>
    <row r="1" ht="25.5" customHeight="1">
      <c r="A1" s="2" t="inlineStr">
        <is>
          <t>Libretto delle attività</t>
        </is>
      </c>
    </row>
    <row r="2" ht="16.5" customHeight="1">
      <c r="A2" s="3" t="inlineStr">
        <is>
          <t>Pietro Crea</t>
        </is>
      </c>
    </row>
    <row r="3" ht="12.75" customHeight="1">
      <c r="A3" s="4" t="inlineStr">
        <is>
          <t>Progetto: Discover Tridentum — Trento Nascosta  ·  Corso: Ingegneria del Software · Prof. Paolo Giorgini · A.A. 2026-2027</t>
        </is>
      </c>
    </row>
    <row r="4" ht="12.75" customHeight="1">
      <c r="A4" s="4" t="inlineStr">
        <is>
          <t>Team: Manuel Bulla · Marco Buffa · Pietro Crea  ·  Repository: github.com/bulla06/Ing-software-prog-test-v1</t>
        </is>
      </c>
    </row>
    <row r="5" ht="12.75" customHeight="1">
      <c r="B5" s="5" t="inlineStr">
        <is>
          <t>Ore totali</t>
        </is>
      </c>
      <c r="C5" s="6">
        <f>SUM(Registro[Ore])</f>
        <v/>
      </c>
    </row>
    <row r="6" ht="12.75" customHeight="1">
      <c r="B6" s="5" t="inlineStr">
        <is>
          <t>Voci senza ore</t>
        </is>
      </c>
      <c r="C6" s="7">
        <f>COUNTIFS(Registro[Attività],"&lt;&gt;",Registro[Ore],"")</f>
        <v/>
      </c>
    </row>
    <row r="7" ht="30" customHeight="1">
      <c r="A7" s="31" t="inlineStr">
        <is>
          <t>Come si compila: scrivi una riga per ogni attività subito sotto l'ultima della tabella, i totali e il riepilogo si aggiornano da soli. Le ore vanno in decimali (1,5 = un'ora e mezza). Le celle gialle nella colonna Ore sono quelle ancora da inserire.</t>
        </is>
      </c>
    </row>
    <row r="8" ht="21.75" customHeight="1">
      <c r="A8" s="8" t="inlineStr">
        <is>
          <t>Data</t>
        </is>
      </c>
      <c r="B8" s="8" t="inlineStr">
        <is>
          <t>Attività</t>
        </is>
      </c>
      <c r="C8" s="9" t="inlineStr">
        <is>
          <t>Ore</t>
        </is>
      </c>
      <c r="D8" s="8" t="inlineStr">
        <is>
          <t>Descrizione</t>
        </is>
      </c>
      <c r="E8" s="8" t="inlineStr">
        <is>
          <t>Risultato / file</t>
        </is>
      </c>
    </row>
    <row r="9" ht="25.5" customHeight="1">
      <c r="A9" s="30" t="n">
        <v>46295</v>
      </c>
      <c r="B9" s="10" t="inlineStr">
        <is>
          <t>Fase 1 — Analisi del dominio</t>
        </is>
      </c>
      <c r="C9" s="11" t="n">
        <v>1</v>
      </c>
      <c r="D9" s="12" t="inlineStr">
        <is>
          <t>Con Manuel e Marco: analisi del dominio, 2 personas, Stakeholder Matrix e matrice di tracciabilità.</t>
        </is>
      </c>
      <c r="E9" s="12" t="inlineStr">
        <is>
          <t>docs/fase-1-analisi-dominio.md</t>
        </is>
      </c>
    </row>
    <row r="10" ht="25.5" customHeight="1">
      <c r="A10" s="30" t="n">
        <v>46295</v>
      </c>
      <c r="B10" s="10" t="inlineStr">
        <is>
          <t>Fase 2 — Specifiche dei requisiti</t>
        </is>
      </c>
      <c r="C10" s="11" t="n">
        <v>2.5</v>
      </c>
      <c r="D10" s="12" t="inlineStr">
        <is>
          <t>Con Manuel e Marco: SRS Light con requisiti funzionali (MoSCoW), requisiti non funzionali e casi d'uso.</t>
        </is>
      </c>
      <c r="E10" s="12" t="inlineStr">
        <is>
          <t>docs/fase-2-specifiche-requisiti.md</t>
        </is>
      </c>
    </row>
    <row r="11" ht="25.5" customHeight="1">
      <c r="A11" s="30" t="n">
        <v>46295</v>
      </c>
      <c r="B11" s="10" t="inlineStr">
        <is>
          <t>Fase 3 — Architettura e user flow</t>
        </is>
      </c>
      <c r="C11" s="11" t="n">
        <v>2.5</v>
      </c>
      <c r="D11" s="12" t="inlineStr">
        <is>
          <t>Con Manuel e Marco: casi d'uso in Mermaid, flusso delle schermate, architettura ad alto livello e diagrammi di sequenza.</t>
        </is>
      </c>
      <c r="E11" s="12" t="inlineStr">
        <is>
          <t>docs/fase-3-architettura-user-flow.md</t>
        </is>
      </c>
    </row>
    <row r="12" ht="38.25" customHeight="1">
      <c r="A12" s="30" t="n">
        <v>46310</v>
      </c>
      <c r="B12" s="10" t="inlineStr">
        <is>
          <t>Nuova icona del sito (pin con montagne e Adige)</t>
        </is>
      </c>
      <c r="C12" s="11" t="n">
        <v>1</v>
      </c>
      <c r="D12" s="12" t="inlineStr">
        <is>
          <t>Scelta tra sei proposte e personalizzazione del pin con stella: montagne, onda dell'Adige, colori petrolio e oro. Icona e PNG per telefono e PWA rigenerati. Fatto con l'aiuto di Claude (AI).</t>
        </is>
      </c>
      <c r="E12" s="12" t="inlineStr">
        <is>
          <t>versione-corrente/frontend/public/icon.svg, icon-192.png, icon-512.png, icon-maskable-512.png, apple-touch-icon.png</t>
        </is>
      </c>
    </row>
    <row r="13" ht="38.25" customHeight="1">
      <c r="A13" s="30" t="n">
        <v>46310</v>
      </c>
      <c r="B13" s="10" t="inlineStr">
        <is>
          <t>Restyling dei colori del sito (petrolio e oro)</t>
        </is>
      </c>
      <c r="C13" s="11" t="n">
        <v>2</v>
      </c>
      <c r="D13" s="12" t="inlineStr">
        <is>
          <t>Nuova palette dai colori del logo, in tema chiaro e scuro: navigazione petrolio con voce attiva in oro, titoli con tratto d'oro, velo di colore in cima alle pagine, benvenuto su fondo petrolio. Verificato nel browser. Fatto con l'aiuto di Claude (AI).</t>
        </is>
      </c>
      <c r="E13" s="12" t="inlineStr">
        <is>
          <t>versione-corrente/frontend/src/stile.css, index.html, public/manifest.webmanifest</t>
        </is>
      </c>
    </row>
    <row r="14" ht="38.25" customHeight="1">
      <c r="A14" s="30" t="n">
        <v>46310</v>
      </c>
      <c r="B14" s="10" t="inlineStr">
        <is>
          <t>Benvenuto: foto di Trento al posto della mappa</t>
        </is>
      </c>
      <c r="C14" s="11" t="n">
        <v>1</v>
      </c>
      <c r="D14" s="12" t="inlineStr">
        <is>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is>
      </c>
      <c r="E14" s="12" t="inlineStr">
        <is>
          <t>versione-corrente/frontend/src/components/GalleriaBenvenuto.jsx, src/data/fotoBenvenuto.js, public/benvenuto/, src/pages/Benvenuto.jsx, src/stile.css</t>
        </is>
      </c>
    </row>
    <row r="15" ht="38.25" customHeight="1">
      <c r="A15" s="30" t="n">
        <v>46310</v>
      </c>
      <c r="B15" s="10" t="inlineStr">
        <is>
          <t>Pulsante satellite in alto a destra, solo icona</t>
        </is>
      </c>
      <c r="C15" s="11" t="n">
        <v>0.5</v>
      </c>
      <c r="D15" s="12" t="inlineStr">
        <is>
          <t>Il pulsante con la scritta "Satellite" è ora un'icona quadrata in alto a destra della mappa: mostra il globo per passare al satellite e la mappa per tornare indietro, con colori petrolio e oro quando il satellite è attivo. Su telefono sta sotto ricerca e filtri e gli avvisi gli lasciano posto. Aggiunta l'icona al generatore e tolti i testi non più usati. Fatto con l'aiuto di Claude (AI).</t>
        </is>
      </c>
      <c r="E15" s="12" t="inlineStr">
        <is>
          <t>versione-corrente/frontend/src/components/MappaLeaflet.jsx, src/stile.css, src/components/icone-svg.js</t>
        </is>
      </c>
    </row>
    <row r="16" ht="25.5" customHeight="1">
      <c r="A16" s="30" t="n">
        <v>46311</v>
      </c>
      <c r="B16" s="10" t="inlineStr">
        <is>
          <t>Riunione del team</t>
        </is>
      </c>
      <c r="C16" s="11" t="n">
        <v>1</v>
      </c>
      <c r="D16" s="12" t="inlineStr">
        <is>
          <t>Riunione con tutto il team per fare il punto sul progetto e decidere i prossimi compiti.</t>
        </is>
      </c>
      <c r="E16" s="12" t="inlineStr">
        <is>
          <t>Riunione del team</t>
        </is>
      </c>
    </row>
    <row r="17" ht="25.5" customHeight="1">
      <c r="A17" s="30" t="n">
        <v>46311</v>
      </c>
      <c r="B17" s="10" t="inlineStr">
        <is>
          <t>Scanner: scatto o scelta della foto dalla galleria</t>
        </is>
      </c>
      <c r="C17" s="11" t="n">
        <v>3.5</v>
      </c>
      <c r="D17" s="12" t="inlineStr">
        <is>
          <t>Nella pagina "Cosa sto guardando?" (RF-06) si può ora scattare una foto o sceglierla dalla galleria. Si mostra la foto, si controlla da dove viene (scattata ora o dalla galleria, e se la posizione scritta nel file è vicina a chi la guarda) e si elencano i luoghi vicini al punto dello scatto. Lo scanner con posizione e bussola resta com'era, ma al posto dell'anteprima della fotocamera c'è la mappa dei luoghi della guida attorno a te (con posizione, luoghi in vista e pulsante satellite) che sfuma nel pannello sotto su telefono; su desktop la mappa riempie la pagina e il pannello è una scheda di vetro sfumato sopra la mappa, con il pulsante satellite a sinistra. Testi in tre lingue, test della provenienza e prova nel browser anche con un file non valido. Fatto con l'aiuto di Claude (AI).</t>
        </is>
      </c>
      <c r="E17" s="12" t="inlineStr">
        <is>
          <t>versione-corrente/frontend/src/pages/Inquadra.jsx, src/components/EsitoFoto.jsx, src/lib/provenienza.js, tests/frontend/provenienza.test.js, src/components/MappaLeaflet.jsx, src/stile.css</t>
        </is>
      </c>
    </row>
    <row r="18" ht="25.5" customHeight="1">
      <c r="A18" s="30" t="n"/>
      <c r="B18" s="10" t="n"/>
      <c r="C18" s="11" t="n"/>
      <c r="D18" s="12" t="n"/>
      <c r="E18" s="12" t="n"/>
    </row>
  </sheetData>
  <mergeCells count="1">
    <mergeCell ref="A7:E7"/>
  </mergeCells>
  <conditionalFormatting sqref="C9:C16">
    <cfRule type="expression" priority="2" dxfId="1">
      <formula>($B9&lt;&gt;"")*($C9="")</formula>
    </cfRule>
  </conditionalFormatting>
  <dataValidations count="2">
    <dataValidation sqref="A9:A16" showDropDown="0" showInputMessage="1" showErrorMessage="1" allowBlank="1" errorTitle="Data non valida" error="Scrivi la data come gg/mm/aaaa, per esempio 14/10/2026." type="date">
      <formula1>46023</formula1>
      <formula2>47483</formula2>
    </dataValidation>
    <dataValidation sqref="C9:C16" showDropDown="0" showInputMessage="1" showErrorMessage="1" allowBlank="1" errorTitle="Ore non valide" error="Scrivi le ore come numero tra 0 e 24 (1,5 = un'ora e mezza)." promptTitle="Ore dedicate" prompt="Numero di ore, anche decimale: 1,5 = un'ora e mezza." type="decimal">
      <formula1>0</formula1>
      <formula2>24</formula2>
    </dataValidation>
  </dataValidations>
  <pageMargins left="0.590277777777778" right="0.590277777777778" top="0.75" bottom="0.75" header="0.511811023622047" footer="0.3"/>
  <pageSetup orientation="landscape" paperSize="9" fitToHeight="0" horizontalDpi="300" verticalDpi="300"/>
  <headerFooter>
    <oddHeader/>
    <oddFooter>&amp;CLibretto attività · Pietro Crea · pag. &amp;P</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26"/>
  <sheetViews>
    <sheetView showGridLines="0" zoomScaleNormal="100" workbookViewId="0">
      <selection activeCell="A1" sqref="A1"/>
    </sheetView>
  </sheetViews>
  <sheetFormatPr baseColWidth="10" defaultColWidth="9" defaultRowHeight="13"/>
  <cols>
    <col width="16.6640625" customWidth="1" style="32" min="1" max="1"/>
    <col width="14.6640625" customWidth="1" style="32" min="2" max="2"/>
    <col width="10.6640625" customWidth="1" style="32" min="3" max="3"/>
    <col width="12.6640625" customWidth="1" style="32" min="4" max="4"/>
    <col width="16.6640625" customWidth="1" style="32" min="5" max="5"/>
    <col width="9" customWidth="1" style="32" min="6" max="7"/>
    <col width="9" customWidth="1" style="32" min="8" max="16384"/>
  </cols>
  <sheetData>
    <row r="1" ht="25.5" customHeight="1">
      <c r="A1" s="2" t="inlineStr">
        <is>
          <t>Riepilogo delle ore</t>
        </is>
      </c>
    </row>
    <row r="2" ht="16.5" customHeight="1">
      <c r="A2" s="3" t="inlineStr">
        <is>
          <t>Pietro Crea</t>
        </is>
      </c>
    </row>
    <row r="3" ht="42" customHeight="1">
      <c r="A3" s="31" t="inlineStr">
        <is>
          <t>Ore e voci per settimana (da lunedì a domenica), calcolate dal foglio Libretto: qui non c'è niente da compilare. La prima settimana parte da lunedì 28/09/2026, quella in cui è nato il repository (cella in blu: si può cambiare).</t>
        </is>
      </c>
    </row>
    <row r="5" ht="21.75" customHeight="1">
      <c r="A5" s="13" t="inlineStr">
        <is>
          <t>Settimana dal</t>
        </is>
      </c>
      <c r="B5" s="13" t="inlineStr">
        <is>
          <t>al</t>
        </is>
      </c>
      <c r="C5" s="13" t="inlineStr">
        <is>
          <t>Voci</t>
        </is>
      </c>
      <c r="D5" s="13" t="inlineStr">
        <is>
          <t>Ore</t>
        </is>
      </c>
      <c r="E5" s="13" t="inlineStr">
        <is>
          <t>Ore cumulate</t>
        </is>
      </c>
    </row>
    <row r="6" ht="12.75" customHeight="1">
      <c r="A6" s="14" t="n">
        <v>46293</v>
      </c>
      <c r="B6" s="15">
        <f>A6+6</f>
        <v/>
      </c>
      <c r="C6" s="16">
        <f>COUNTIFS(Registro[Data],"&gt;="&amp;A6,Registro[Data],"&lt;="&amp;B6)</f>
        <v/>
      </c>
      <c r="D6" s="17">
        <f>SUMIFS(Registro[Ore],Registro[Data],"&gt;="&amp;A6,Registro[Data],"&lt;="&amp;B6)</f>
        <v/>
      </c>
      <c r="E6" s="17">
        <f>SUM(D$6:D6)</f>
        <v/>
      </c>
    </row>
    <row r="7" ht="12.75" customHeight="1">
      <c r="A7" s="18">
        <f>A6+7</f>
        <v/>
      </c>
      <c r="B7" s="18">
        <f>A7+6</f>
        <v/>
      </c>
      <c r="C7" s="19">
        <f>COUNTIFS(Registro[Data],"&gt;="&amp;A7,Registro[Data],"&lt;="&amp;B7)</f>
        <v/>
      </c>
      <c r="D7" s="20">
        <f>SUMIFS(Registro[Ore],Registro[Data],"&gt;="&amp;A7,Registro[Data],"&lt;="&amp;B7)</f>
        <v/>
      </c>
      <c r="E7" s="20">
        <f>SUM(D$6:D7)</f>
        <v/>
      </c>
    </row>
    <row r="8" ht="12.75" customHeight="1">
      <c r="A8" s="15">
        <f>A7+7</f>
        <v/>
      </c>
      <c r="B8" s="15">
        <f>A8+6</f>
        <v/>
      </c>
      <c r="C8" s="16">
        <f>COUNTIFS(Registro[Data],"&gt;="&amp;A8,Registro[Data],"&lt;="&amp;B8)</f>
        <v/>
      </c>
      <c r="D8" s="17">
        <f>SUMIFS(Registro[Ore],Registro[Data],"&gt;="&amp;A8,Registro[Data],"&lt;="&amp;B8)</f>
        <v/>
      </c>
      <c r="E8" s="17">
        <f>SUM(D$6:D8)</f>
        <v/>
      </c>
    </row>
    <row r="9" ht="12.75" customHeight="1">
      <c r="A9" s="18">
        <f>A8+7</f>
        <v/>
      </c>
      <c r="B9" s="18">
        <f>A9+6</f>
        <v/>
      </c>
      <c r="C9" s="19">
        <f>COUNTIFS(Registro[Data],"&gt;="&amp;A9,Registro[Data],"&lt;="&amp;B9)</f>
        <v/>
      </c>
      <c r="D9" s="20">
        <f>SUMIFS(Registro[Ore],Registro[Data],"&gt;="&amp;A9,Registro[Data],"&lt;="&amp;B9)</f>
        <v/>
      </c>
      <c r="E9" s="20">
        <f>SUM(D$6:D9)</f>
        <v/>
      </c>
    </row>
    <row r="10" ht="12.75" customHeight="1">
      <c r="A10" s="15">
        <f>A9+7</f>
        <v/>
      </c>
      <c r="B10" s="15">
        <f>A10+6</f>
        <v/>
      </c>
      <c r="C10" s="16">
        <f>COUNTIFS(Registro[Data],"&gt;="&amp;A10,Registro[Data],"&lt;="&amp;B10)</f>
        <v/>
      </c>
      <c r="D10" s="17">
        <f>SUMIFS(Registro[Ore],Registro[Data],"&gt;="&amp;A10,Registro[Data],"&lt;="&amp;B10)</f>
        <v/>
      </c>
      <c r="E10" s="17">
        <f>SUM(D$6:D10)</f>
        <v/>
      </c>
    </row>
    <row r="11" ht="12.75" customHeight="1">
      <c r="A11" s="18">
        <f>A10+7</f>
        <v/>
      </c>
      <c r="B11" s="18">
        <f>A11+6</f>
        <v/>
      </c>
      <c r="C11" s="19">
        <f>COUNTIFS(Registro[Data],"&gt;="&amp;A11,Registro[Data],"&lt;="&amp;B11)</f>
        <v/>
      </c>
      <c r="D11" s="20">
        <f>SUMIFS(Registro[Ore],Registro[Data],"&gt;="&amp;A11,Registro[Data],"&lt;="&amp;B11)</f>
        <v/>
      </c>
      <c r="E11" s="20">
        <f>SUM(D$6:D11)</f>
        <v/>
      </c>
    </row>
    <row r="12" ht="12.75" customHeight="1">
      <c r="A12" s="15">
        <f>A11+7</f>
        <v/>
      </c>
      <c r="B12" s="15">
        <f>A12+6</f>
        <v/>
      </c>
      <c r="C12" s="16">
        <f>COUNTIFS(Registro[Data],"&gt;="&amp;A12,Registro[Data],"&lt;="&amp;B12)</f>
        <v/>
      </c>
      <c r="D12" s="17">
        <f>SUMIFS(Registro[Ore],Registro[Data],"&gt;="&amp;A12,Registro[Data],"&lt;="&amp;B12)</f>
        <v/>
      </c>
      <c r="E12" s="17">
        <f>SUM(D$6:D12)</f>
        <v/>
      </c>
    </row>
    <row r="13" ht="12.75" customHeight="1">
      <c r="A13" s="18">
        <f>A12+7</f>
        <v/>
      </c>
      <c r="B13" s="18">
        <f>A13+6</f>
        <v/>
      </c>
      <c r="C13" s="19">
        <f>COUNTIFS(Registro[Data],"&gt;="&amp;A13,Registro[Data],"&lt;="&amp;B13)</f>
        <v/>
      </c>
      <c r="D13" s="20">
        <f>SUMIFS(Registro[Ore],Registro[Data],"&gt;="&amp;A13,Registro[Data],"&lt;="&amp;B13)</f>
        <v/>
      </c>
      <c r="E13" s="20">
        <f>SUM(D$6:D13)</f>
        <v/>
      </c>
    </row>
    <row r="14" ht="12.75" customHeight="1">
      <c r="A14" s="15">
        <f>A13+7</f>
        <v/>
      </c>
      <c r="B14" s="15">
        <f>A14+6</f>
        <v/>
      </c>
      <c r="C14" s="16">
        <f>COUNTIFS(Registro[Data],"&gt;="&amp;A14,Registro[Data],"&lt;="&amp;B14)</f>
        <v/>
      </c>
      <c r="D14" s="17">
        <f>SUMIFS(Registro[Ore],Registro[Data],"&gt;="&amp;A14,Registro[Data],"&lt;="&amp;B14)</f>
        <v/>
      </c>
      <c r="E14" s="17">
        <f>SUM(D$6:D14)</f>
        <v/>
      </c>
    </row>
    <row r="15" ht="12.75" customHeight="1">
      <c r="A15" s="18">
        <f>A14+7</f>
        <v/>
      </c>
      <c r="B15" s="18">
        <f>A15+6</f>
        <v/>
      </c>
      <c r="C15" s="19">
        <f>COUNTIFS(Registro[Data],"&gt;="&amp;A15,Registro[Data],"&lt;="&amp;B15)</f>
        <v/>
      </c>
      <c r="D15" s="20">
        <f>SUMIFS(Registro[Ore],Registro[Data],"&gt;="&amp;A15,Registro[Data],"&lt;="&amp;B15)</f>
        <v/>
      </c>
      <c r="E15" s="20">
        <f>SUM(D$6:D15)</f>
        <v/>
      </c>
    </row>
    <row r="16" ht="12.75" customHeight="1">
      <c r="A16" s="15">
        <f>A15+7</f>
        <v/>
      </c>
      <c r="B16" s="15">
        <f>A16+6</f>
        <v/>
      </c>
      <c r="C16" s="16">
        <f>COUNTIFS(Registro[Data],"&gt;="&amp;A16,Registro[Data],"&lt;="&amp;B16)</f>
        <v/>
      </c>
      <c r="D16" s="17">
        <f>SUMIFS(Registro[Ore],Registro[Data],"&gt;="&amp;A16,Registro[Data],"&lt;="&amp;B16)</f>
        <v/>
      </c>
      <c r="E16" s="17">
        <f>SUM(D$6:D16)</f>
        <v/>
      </c>
    </row>
    <row r="17" ht="12.75" customHeight="1">
      <c r="A17" s="18">
        <f>A16+7</f>
        <v/>
      </c>
      <c r="B17" s="18">
        <f>A17+6</f>
        <v/>
      </c>
      <c r="C17" s="19">
        <f>COUNTIFS(Registro[Data],"&gt;="&amp;A17,Registro[Data],"&lt;="&amp;B17)</f>
        <v/>
      </c>
      <c r="D17" s="20">
        <f>SUMIFS(Registro[Ore],Registro[Data],"&gt;="&amp;A17,Registro[Data],"&lt;="&amp;B17)</f>
        <v/>
      </c>
      <c r="E17" s="20">
        <f>SUM(D$6:D17)</f>
        <v/>
      </c>
    </row>
    <row r="18" ht="12.75" customHeight="1">
      <c r="A18" s="15">
        <f>A17+7</f>
        <v/>
      </c>
      <c r="B18" s="15">
        <f>A18+6</f>
        <v/>
      </c>
      <c r="C18" s="16">
        <f>COUNTIFS(Registro[Data],"&gt;="&amp;A18,Registro[Data],"&lt;="&amp;B18)</f>
        <v/>
      </c>
      <c r="D18" s="17">
        <f>SUMIFS(Registro[Ore],Registro[Data],"&gt;="&amp;A18,Registro[Data],"&lt;="&amp;B18)</f>
        <v/>
      </c>
      <c r="E18" s="17">
        <f>SUM(D$6:D18)</f>
        <v/>
      </c>
    </row>
    <row r="19" ht="12.75" customHeight="1">
      <c r="A19" s="18">
        <f>A18+7</f>
        <v/>
      </c>
      <c r="B19" s="18">
        <f>A19+6</f>
        <v/>
      </c>
      <c r="C19" s="19">
        <f>COUNTIFS(Registro[Data],"&gt;="&amp;A19,Registro[Data],"&lt;="&amp;B19)</f>
        <v/>
      </c>
      <c r="D19" s="20">
        <f>SUMIFS(Registro[Ore],Registro[Data],"&gt;="&amp;A19,Registro[Data],"&lt;="&amp;B19)</f>
        <v/>
      </c>
      <c r="E19" s="20">
        <f>SUM(D$6:D19)</f>
        <v/>
      </c>
    </row>
    <row r="20" ht="12.75" customHeight="1">
      <c r="A20" s="15">
        <f>A19+7</f>
        <v/>
      </c>
      <c r="B20" s="15">
        <f>A20+6</f>
        <v/>
      </c>
      <c r="C20" s="16">
        <f>COUNTIFS(Registro[Data],"&gt;="&amp;A20,Registro[Data],"&lt;="&amp;B20)</f>
        <v/>
      </c>
      <c r="D20" s="17">
        <f>SUMIFS(Registro[Ore],Registro[Data],"&gt;="&amp;A20,Registro[Data],"&lt;="&amp;B20)</f>
        <v/>
      </c>
      <c r="E20" s="17">
        <f>SUM(D$6:D20)</f>
        <v/>
      </c>
    </row>
    <row r="21" ht="12.75" customHeight="1">
      <c r="A21" s="21">
        <f>A20+7</f>
        <v/>
      </c>
      <c r="B21" s="21">
        <f>A21+6</f>
        <v/>
      </c>
      <c r="C21" s="22">
        <f>COUNTIFS(Registro[Data],"&gt;="&amp;A21,Registro[Data],"&lt;="&amp;B21)</f>
        <v/>
      </c>
      <c r="D21" s="23">
        <f>SUMIFS(Registro[Ore],Registro[Data],"&gt;="&amp;A21,Registro[Data],"&lt;="&amp;B21)</f>
        <v/>
      </c>
      <c r="E21" s="23">
        <f>SUM(D$6:D21)</f>
        <v/>
      </c>
    </row>
    <row r="22" ht="12.75" customHeight="1">
      <c r="A22" s="24" t="inlineStr">
        <is>
          <t>Totale</t>
        </is>
      </c>
      <c r="B22" s="25" t="n"/>
      <c r="C22" s="26">
        <f>SUM(C6:C21)</f>
        <v/>
      </c>
      <c r="D22" s="27">
        <f>SUM(D6:D21)</f>
        <v/>
      </c>
      <c r="E22" s="25" t="n"/>
    </row>
    <row r="24" ht="12.75" customHeight="1">
      <c r="A24" s="28" t="inlineStr">
        <is>
          <t>Ore nel Libretto</t>
        </is>
      </c>
      <c r="B24" s="28" t="n"/>
      <c r="C24" s="28" t="n"/>
      <c r="D24" s="29">
        <f>SUM(Registro[Ore])</f>
        <v/>
      </c>
    </row>
    <row r="25" ht="12.75" customHeight="1">
      <c r="A25" s="28" t="inlineStr">
        <is>
          <t>Fuori dalle settimane elencate</t>
        </is>
      </c>
      <c r="B25" s="28" t="n"/>
      <c r="C25" s="28" t="n"/>
      <c r="D25" s="29">
        <f>D24-D22</f>
        <v/>
      </c>
    </row>
    <row r="26" ht="42" customHeight="1">
      <c r="A26" s="31" t="inlineStr">
        <is>
          <t>Se 'Fuori dalle settimane elencate' non è zero, ci sono voci con una data oltre l'ultima settimana: inserisci una riga sopra l'ultima settimana e copia le formule dalla riga precedente.</t>
        </is>
      </c>
    </row>
  </sheetData>
  <mergeCells count="2">
    <mergeCell ref="A26:E26"/>
    <mergeCell ref="A3:E3"/>
  </mergeCells>
  <conditionalFormatting sqref="D25">
    <cfRule type="cellIs" priority="2" operator="notEqual" dxfId="0">
      <formula>0</formula>
    </cfRule>
  </conditionalFormatting>
  <pageMargins left="0.7" right="0.7" top="0.75" bottom="0.75" header="0.511811023622047" footer="0.3"/>
  <pageSetup orientation="portrait" paperSize="9" horizontalDpi="300" verticalDpi="300"/>
  <headerFooter>
    <oddHeader/>
    <oddFooter>&amp;CLibretto attività · Pietro Crea · pag.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Bulla, Manuel</dc:creator>
  <dc:language>en-US</dc:language>
  <dcterms:created xsi:type="dcterms:W3CDTF">2026-10-14T11:30:17Z</dcterms:created>
  <dcterms:modified xsi:type="dcterms:W3CDTF">2026-10-16T18:10:25Z</dcterms:modified>
  <cp:lastModifiedBy>Crea, Pietro</cp:lastModifiedBy>
  <cp:revision>0</cp:revision>
</cp:coreProperties>
</file>