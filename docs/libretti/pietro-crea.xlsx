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F86EFF2B-C88A-4004-BBCD-D9EE54D9C4E3}" xr6:coauthVersionLast="47" xr6:coauthVersionMax="47" xr10:uidLastSave="{00000000-0000-0000-0000-000000000000}"/>
  <bookViews>
    <workbookView xWindow="-98" yWindow="-98" windowWidth="21795" windowHeight="12975" xr2:uid="{2D331B93-E1FB-4C89-A78F-DFECF31FCEB5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D22" i="2"/>
  <c r="D25" i="2" s="1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</calcChain>
</file>

<file path=xl/sharedStrings.xml><?xml version="1.0" encoding="utf-8"?>
<sst xmlns="http://schemas.openxmlformats.org/spreadsheetml/2006/main" count="33" uniqueCount="31">
  <si>
    <t>Libretto delle attività</t>
  </si>
  <si>
    <t>Pietro Crea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</si>
  <si>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</si>
  <si>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</si>
  <si>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</si>
  <si>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</si>
  <si>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</si>
  <si>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</si>
  <si>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</si>
  <si>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</si>
  <si>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</si>
  <si>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</si>
  <si>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</si>
  <si>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</si>
  <si>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</si>
  <si>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</si>
  <si>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</si>
  <si>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</si>
  <si>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</si>
  <si>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</si>
  <si>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</si>
  <si>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</si>
  <si>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Fase 1 — Analisi del dominio</t>
  </si>
  <si>
    <t>Con Manuel e Marco: analisi del dominio, 2 personas, Stakeholder Matrix e matrice di tracciabilità.</t>
  </si>
  <si>
    <t>docs/fase-1-analisi-dominio.md</t>
  </si>
  <si>
    <t>Fase 2 — Specifiche dei requisiti</t>
  </si>
  <si>
    <t>Con Manuel e Marco: SRS Light con requisiti funzionali (MoSCoW), requisiti non funzionali e casi d'uso.</t>
  </si>
  <si>
    <t>docs/fase-2-specifiche-requisiti.md</t>
  </si>
  <si>
    <t>Fase 3 — Architettura e user flow</t>
  </si>
  <si>
    <t>Con Manuel e Marco: casi d'uso in Mermaid, flusso delle schermate, architettura ad alto livello e diagrammi di sequenza.</t>
  </si>
  <si>
    <t>docs/fase-3-architettura-user-flow.md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</si>
</sst>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color rgb="FFC00000"/>
      </font>
    </dxf>
    <dxf>
      <fill>
        <patternFill>
          <bgColor rgb="FFFFF2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59739CDB-63D5-45D3-8730-D196FD7F67FA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47867C-433E-4C7E-87B2-AAC0FCE68390}" name="Registro" displayName="Registro" ref="A8:E11" totalsRowShown="0" headerRowDxfId="8" dataDxfId="4">
  <autoFilter ref="A8:E11" xr:uid="{AA47867C-433E-4C7E-87B2-AAC0FCE6839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2248891-5FC5-425A-9EDE-392ECC4BF04A}" name="Data" dataDxfId="3"/>
    <tableColumn id="2" xr3:uid="{373C6B70-9526-4B94-9B54-EAF5831EBA0A}" name="Attività" dataDxfId="2"/>
    <tableColumn id="3" xr3:uid="{A7C421CB-05DB-4840-A964-AB66493E750B}" name="Ore" dataDxfId="0"/>
    <tableColumn id="4" xr3:uid="{253DD084-FCA4-49D0-8D2F-FBD96DE74E29}" name="Descrizione" dataDxfId="1"/>
    <tableColumn id="5" xr3:uid="{B340B777-29A7-4A97-BB16-FD91474C1774}" name="Risultato / file" dataDxfId="5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C69A-3555-4D92-953B-58BA301415B1}">
  <sheetPr>
    <pageSetUpPr fitToPage="1"/>
  </sheetPr>
  <dimension ref="A1:E11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6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25.5" x14ac:dyDescent="0.35">
      <c r="A9" s="11">
        <v>46295</v>
      </c>
      <c r="B9" s="10" t="s">
        <v>22</v>
      </c>
      <c r="C9" s="12">
        <v>1</v>
      </c>
      <c r="D9" s="9" t="s">
        <v>23</v>
      </c>
      <c r="E9" s="9" t="s">
        <v>24</v>
      </c>
    </row>
    <row r="10" spans="1:5" ht="25.5" x14ac:dyDescent="0.35">
      <c r="A10" s="11">
        <v>46295</v>
      </c>
      <c r="B10" s="10" t="s">
        <v>25</v>
      </c>
      <c r="C10" s="12">
        <v>2.5</v>
      </c>
      <c r="D10" s="9" t="s">
        <v>26</v>
      </c>
      <c r="E10" s="9" t="s">
        <v>27</v>
      </c>
    </row>
    <row r="11" spans="1:5" ht="25.5" x14ac:dyDescent="0.35">
      <c r="A11" s="11">
        <v>46295</v>
      </c>
      <c r="B11" s="10" t="s">
        <v>28</v>
      </c>
      <c r="C11" s="12">
        <v>2.5</v>
      </c>
      <c r="D11" s="9" t="s">
        <v>29</v>
      </c>
      <c r="E11" s="9" t="s">
        <v>30</v>
      </c>
    </row>
  </sheetData>
  <mergeCells count="1">
    <mergeCell ref="A7:E7"/>
  </mergeCells>
  <conditionalFormatting sqref="C9:C11">
    <cfRule type="expression" dxfId="7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11" xr:uid="{20ABBA9E-2AB5-4D0C-AC9C-86CF74ECBFC9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11" xr:uid="{623F2EAD-18FD-4F42-BA32-BE4C81D73C78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Pietro Crea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E9A3-2078-4FC8-A11A-026E769941FC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12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13</v>
      </c>
      <c r="B3" s="32"/>
      <c r="C3" s="32"/>
      <c r="D3" s="32"/>
      <c r="E3" s="32"/>
    </row>
    <row r="5" spans="1:5" ht="22.05" customHeight="1" x14ac:dyDescent="0.35">
      <c r="A5" s="16" t="s">
        <v>14</v>
      </c>
      <c r="B5" s="16" t="s">
        <v>15</v>
      </c>
      <c r="C5" s="16" t="s">
        <v>16</v>
      </c>
      <c r="D5" s="16" t="s">
        <v>9</v>
      </c>
      <c r="E5" s="16" t="s">
        <v>17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3</v>
      </c>
      <c r="D6" s="20">
        <f>SUMIFS(Registro[Ore],Registro[Data],"&gt;="&amp;A6,Registro[Data],"&lt;="&amp;B6)</f>
        <v>6</v>
      </c>
      <c r="E6" s="20">
        <f>SUM(D$6:D6)</f>
        <v>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0</v>
      </c>
      <c r="D7" s="23">
        <f>SUMIFS(Registro[Ore],Registro[Data],"&gt;="&amp;A7,Registro[Data],"&lt;="&amp;B7)</f>
        <v>0</v>
      </c>
      <c r="E7" s="23">
        <f>SUM(D$6:D7)</f>
        <v>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0</v>
      </c>
      <c r="D8" s="20">
        <f>SUMIFS(Registro[Ore],Registro[Data],"&gt;="&amp;A8,Registro[Data],"&lt;="&amp;B8)</f>
        <v>0</v>
      </c>
      <c r="E8" s="20">
        <f>SUM(D$6:D8)</f>
        <v>6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6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6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6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6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6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6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6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6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6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6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6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6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6</v>
      </c>
    </row>
    <row r="22" spans="1:5" ht="13.15" x14ac:dyDescent="0.4">
      <c r="A22" s="27" t="s">
        <v>18</v>
      </c>
      <c r="B22" s="28"/>
      <c r="C22" s="29">
        <f>SUM(C6:C21)</f>
        <v>3</v>
      </c>
      <c r="D22" s="30">
        <f>SUM(D6:D21)</f>
        <v>6</v>
      </c>
      <c r="E22" s="28"/>
    </row>
    <row r="24" spans="1:5" ht="13.15" x14ac:dyDescent="0.4">
      <c r="A24" s="6" t="s">
        <v>19</v>
      </c>
      <c r="B24" s="6"/>
      <c r="C24" s="6"/>
      <c r="D24" s="15">
        <f>SUM(Registro[Ore])</f>
        <v>6</v>
      </c>
    </row>
    <row r="25" spans="1:5" ht="13.15" x14ac:dyDescent="0.4">
      <c r="A25" s="6" t="s">
        <v>20</v>
      </c>
      <c r="B25" s="6"/>
      <c r="C25" s="6"/>
      <c r="D25" s="15">
        <f>D24-D22</f>
        <v>0</v>
      </c>
    </row>
    <row r="26" spans="1:5" ht="42" customHeight="1" x14ac:dyDescent="0.35">
      <c r="A26" s="31" t="s">
        <v>21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6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Pietro Crea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2026-10-14T11:30:17Z</dcterms:created>
  <dcterms:modified xsi:type="dcterms:W3CDTF">2026-10-14T11:54:15Z</dcterms:modified>
</cp:coreProperties>
</file>