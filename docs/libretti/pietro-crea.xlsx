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2975" tabRatio="500" firstSheet="0" activeTab="0" autoFilterDateGrouping="1"/>
  </bookViews>
  <sheets>
    <sheet name="Libretto" sheetId="1" state="visible" r:id="rId1"/>
    <sheet name="Riepilogo" sheetId="2" state="visible" r:id="rId2"/>
  </sheets>
  <definedNames>
    <definedName name="_xlnm.Print_Titles" localSheetId="0">'Libretto'!$8:$8</definedName>
  </definedNames>
  <calcPr calcId="191029" fullCalcOnLoad="1" iterateDelta="0.0001"/>
</workbook>
</file>

<file path=xl/styles.xml><?xml version="1.0" encoding="utf-8"?>
<styleSheet xmlns="http://schemas.openxmlformats.org/spreadsheetml/2006/main">
  <numFmts count="4">
    <numFmt numFmtId="164" formatCode="0.0"/>
    <numFmt numFmtId="165" formatCode="m/d/yyyy"/>
    <numFmt numFmtId="166" formatCode="0;\-0;\-"/>
    <numFmt numFmtId="167" formatCode="0.0;\-0.0;\-"/>
  </numFmts>
  <fonts count="9">
    <font>
      <name val="Aptos Narrow"/>
      <charset val="1"/>
      <family val="2"/>
      <color theme="1"/>
      <sz val="11"/>
    </font>
    <font>
      <name val="Arial"/>
      <charset val="1"/>
      <family val="2"/>
      <color theme="1"/>
      <sz val="10"/>
    </font>
    <font>
      <name val="Arial"/>
      <charset val="1"/>
      <family val="2"/>
      <b val="1"/>
      <color rgb="FF1B2428"/>
      <sz val="18"/>
    </font>
    <font>
      <name val="Arial"/>
      <charset val="1"/>
      <family val="2"/>
      <b val="1"/>
      <color theme="1"/>
      <sz val="13"/>
    </font>
    <font>
      <name val="Arial"/>
      <charset val="1"/>
      <family val="2"/>
      <color rgb="FF6B6B6B"/>
      <sz val="10"/>
    </font>
    <font>
      <name val="Arial"/>
      <charset val="1"/>
      <family val="2"/>
      <b val="1"/>
      <color theme="1"/>
      <sz val="10"/>
    </font>
    <font>
      <name val="Arial"/>
      <charset val="1"/>
      <family val="2"/>
      <i val="1"/>
      <color rgb="FF6B6B6B"/>
      <sz val="10"/>
    </font>
    <font>
      <name val="Arial"/>
      <charset val="1"/>
      <family val="2"/>
      <b val="1"/>
      <color rgb="FFFFFFFF"/>
      <sz val="10"/>
    </font>
    <font>
      <name val="Arial"/>
      <charset val="1"/>
      <family val="2"/>
      <color rgb="FF0000FF"/>
      <sz val="10"/>
    </font>
  </fonts>
  <fills count="4">
    <fill>
      <patternFill/>
    </fill>
    <fill>
      <patternFill patternType="gray125"/>
    </fill>
    <fill>
      <patternFill patternType="solid">
        <fgColor rgb="FF1B2428"/>
        <bgColor rgb="FF333300"/>
      </patternFill>
    </fill>
    <fill>
      <patternFill patternType="solid">
        <fgColor rgb="FFFBF8F3"/>
        <bgColor rgb="FFFFFFFF"/>
      </patternFill>
    </fill>
  </fills>
  <borders count="4">
    <border>
      <left/>
      <right/>
      <top/>
      <bottom/>
      <diagonal/>
    </border>
    <border>
      <left style="thin">
        <color rgb="FFD9CFC0"/>
      </left>
      <right style="thin">
        <color rgb="FFD9CFC0"/>
      </right>
      <top style="thin">
        <color rgb="FFD9CFC0"/>
      </top>
      <bottom style="thin">
        <color rgb="FFD9CFC0"/>
      </bottom>
      <diagonal/>
    </border>
    <border>
      <left style="thin">
        <color rgb="FFD9CFC0"/>
      </left>
      <right style="thin">
        <color rgb="FFD9CFC0"/>
      </right>
      <top style="thin">
        <color rgb="FFD9CFC0"/>
      </top>
      <bottom/>
      <diagonal/>
    </border>
    <border>
      <left style="thin">
        <color rgb="FFD9CFC0"/>
      </left>
      <right style="thin">
        <color rgb="FFD9CFC0"/>
      </right>
      <top style="thin">
        <color rgb="FF1B2428"/>
      </top>
      <bottom style="thin">
        <color rgb="FFD9CFC0"/>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horizontal="right"/>
    </xf>
    <xf numFmtId="164" fontId="5" fillId="0" borderId="0" applyAlignment="1" pivotButton="0" quotePrefix="0" xfId="0">
      <alignment horizontal="center"/>
    </xf>
    <xf numFmtId="1" fontId="5" fillId="0" borderId="0" applyAlignment="1" pivotButton="0" quotePrefix="0" xfId="0">
      <alignment horizontal="center"/>
    </xf>
    <xf numFmtId="0" fontId="7" fillId="2" borderId="0" applyAlignment="1" pivotButton="0" quotePrefix="0" xfId="0">
      <alignment horizontal="left" vertical="center"/>
    </xf>
    <xf numFmtId="0" fontId="7" fillId="2" borderId="0" applyAlignment="1" pivotButton="0" quotePrefix="0" xfId="0">
      <alignment horizontal="center" vertical="center"/>
    </xf>
    <xf numFmtId="0" fontId="5" fillId="0" borderId="0" applyAlignment="1" pivotButton="0" quotePrefix="0" xfId="0">
      <alignment vertical="top" wrapText="1"/>
    </xf>
    <xf numFmtId="164" fontId="8" fillId="0" borderId="0" applyAlignment="1" pivotButton="0" quotePrefix="0" xfId="0">
      <alignment horizontal="center" vertical="top"/>
    </xf>
    <xf numFmtId="0" fontId="1" fillId="0" borderId="0" applyAlignment="1" pivotButton="0" quotePrefix="0" xfId="0">
      <alignment vertical="top" wrapText="1"/>
    </xf>
    <xf numFmtId="0" fontId="7" fillId="2" borderId="1" applyAlignment="1" pivotButton="0" quotePrefix="0" xfId="0">
      <alignment horizontal="center" vertical="center"/>
    </xf>
    <xf numFmtId="165" fontId="8" fillId="0" borderId="1" applyAlignment="1" pivotButton="0" quotePrefix="0" xfId="0">
      <alignment horizontal="center"/>
    </xf>
    <xf numFmtId="165" fontId="1" fillId="0" borderId="1" applyAlignment="1" pivotButton="0" quotePrefix="0" xfId="0">
      <alignment horizontal="center"/>
    </xf>
    <xf numFmtId="166" fontId="1" fillId="0" borderId="1" applyAlignment="1" pivotButton="0" quotePrefix="0" xfId="0">
      <alignment horizontal="center"/>
    </xf>
    <xf numFmtId="167" fontId="1" fillId="0" borderId="1" applyAlignment="1" pivotButton="0" quotePrefix="0" xfId="0">
      <alignment horizontal="center"/>
    </xf>
    <xf numFmtId="165" fontId="1" fillId="3" borderId="1" applyAlignment="1" pivotButton="0" quotePrefix="0" xfId="0">
      <alignment horizontal="center"/>
    </xf>
    <xf numFmtId="166" fontId="1" fillId="3" borderId="1" applyAlignment="1" pivotButton="0" quotePrefix="0" xfId="0">
      <alignment horizontal="center"/>
    </xf>
    <xf numFmtId="167" fontId="1" fillId="3" borderId="1" applyAlignment="1" pivotButton="0" quotePrefix="0" xfId="0">
      <alignment horizontal="center"/>
    </xf>
    <xf numFmtId="165" fontId="1" fillId="3" borderId="2" applyAlignment="1" pivotButton="0" quotePrefix="0" xfId="0">
      <alignment horizontal="center"/>
    </xf>
    <xf numFmtId="166" fontId="1" fillId="3" borderId="2" applyAlignment="1" pivotButton="0" quotePrefix="0" xfId="0">
      <alignment horizontal="center"/>
    </xf>
    <xf numFmtId="167" fontId="1" fillId="3" borderId="2" applyAlignment="1" pivotButton="0" quotePrefix="0" xfId="0">
      <alignment horizontal="center"/>
    </xf>
    <xf numFmtId="0" fontId="5" fillId="0" borderId="3" applyAlignment="1" pivotButton="0" quotePrefix="0" xfId="0">
      <alignment horizontal="left"/>
    </xf>
    <xf numFmtId="0" fontId="5" fillId="0" borderId="3" applyAlignment="1" pivotButton="0" quotePrefix="0" xfId="0">
      <alignment horizontal="center"/>
    </xf>
    <xf numFmtId="166" fontId="5" fillId="0" borderId="3" applyAlignment="1" pivotButton="0" quotePrefix="0" xfId="0">
      <alignment horizontal="center"/>
    </xf>
    <xf numFmtId="167" fontId="5" fillId="0" borderId="3" applyAlignment="1" pivotButton="0" quotePrefix="0" xfId="0">
      <alignment horizontal="center"/>
    </xf>
    <xf numFmtId="0" fontId="5" fillId="0" borderId="0" pivotButton="0" quotePrefix="0" xfId="0"/>
    <xf numFmtId="167" fontId="5" fillId="0" borderId="0" applyAlignment="1" pivotButton="0" quotePrefix="0" xfId="0">
      <alignment horizontal="center"/>
    </xf>
    <xf numFmtId="0" fontId="6" fillId="0" borderId="0" applyAlignment="1" pivotButton="0" quotePrefix="0" xfId="0">
      <alignment vertical="top" wrapText="1"/>
    </xf>
    <xf numFmtId="14" fontId="1" fillId="0" borderId="0" applyAlignment="1" pivotButton="0" quotePrefix="0" xfId="0">
      <alignment horizontal="left" vertical="top"/>
    </xf>
  </cellXfs>
  <cellStyles count="1">
    <cellStyle name="Normale" xfId="0" builtinId="0"/>
  </cellStyles>
  <dxfs count="3">
    <dxf>
      <numFmt numFmtId="19" formatCode="dd/mm/yyyy"/>
    </dxf>
    <dxf>
      <font>
        <b val="1"/>
        <color rgb="FFC00000"/>
      </font>
    </dxf>
    <dxf>
      <fill>
        <patternFill>
          <bgColor rgb="FFFFF2CC"/>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9CFC0"/>
      <rgbColor rgb="FF808080"/>
      <rgbColor rgb="FF9999FF"/>
      <rgbColor rgb="FF993366"/>
      <rgbColor rgb="FFFFF2CC"/>
      <rgbColor rgb="FFFBF8F3"/>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339966"/>
      <rgbColor rgb="FF003300"/>
      <rgbColor rgb="FF333300"/>
      <rgbColor rgb="FF993300"/>
      <rgbColor rgb="FF993366"/>
      <rgbColor rgb="FF333399"/>
      <rgbColor rgb="FF1B2428"/>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Registro" displayName="Registro" ref="A8:E20" headerRowCount="1" totalsRowShown="0">
  <autoFilter ref="A8:E20">
    <filterColumn colId="0" hiddenButton="1" showButton="1"/>
    <filterColumn colId="1" hiddenButton="1" showButton="1"/>
    <filterColumn colId="2" hiddenButton="1" showButton="1"/>
    <filterColumn colId="3" hiddenButton="1" showButton="1"/>
    <filterColumn colId="4" hiddenButton="1" showButton="1"/>
  </autoFilter>
  <tableColumns count="5">
    <tableColumn id="1" name="Data" dataDxfId="0"/>
    <tableColumn id="2" name="Attività"/>
    <tableColumn id="3" name="Ore"/>
    <tableColumn id="4" name="Descrizione"/>
    <tableColumn id="5" name="Risultato / file"/>
  </tableColumns>
  <tableStyleInfo showFirstColumn="0" showLastColumn="0" showRowStripes="1" showColumnStripes="0"/>
</table>
</file>

<file path=xl/theme/theme1.xml><?xml version="1.0" encoding="utf-8"?>
<a:theme xmlns:a="http://schemas.openxmlformats.org/drawingml/2006/main" name="Tema di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fitToPage="1"/>
  </sheetPr>
  <dimension ref="A1:E20"/>
  <sheetViews>
    <sheetView showGridLines="0" tabSelected="1" zoomScaleNormal="100" workbookViewId="0">
      <pane ySplit="8" topLeftCell="A9" activePane="bottomLeft" state="frozen"/>
      <selection pane="bottomLeft" activeCell="A15" sqref="A15:E15"/>
    </sheetView>
  </sheetViews>
  <sheetFormatPr baseColWidth="8" defaultColWidth="9.06640625" defaultRowHeight="12.75"/>
  <cols>
    <col width="12.59765625" customWidth="1" style="1" min="1" max="1"/>
    <col width="30.59765625" customWidth="1" style="1" min="2" max="2"/>
    <col width="8.59765625" customWidth="1" style="1" min="3" max="3"/>
    <col width="72.59765625" customWidth="1" style="1" min="4" max="4"/>
    <col width="40.59765625" customWidth="1" style="1" min="5" max="5"/>
    <col width="9.06640625" customWidth="1" style="1" min="6" max="16384"/>
  </cols>
  <sheetData>
    <row r="1" ht="25.5" customHeight="1">
      <c r="A1" s="2" t="inlineStr">
        <is>
          <t>Libretto delle attività</t>
        </is>
      </c>
    </row>
    <row r="2" ht="16.5" customHeight="1">
      <c r="A2" s="3" t="inlineStr">
        <is>
          <t>Pietro Crea</t>
        </is>
      </c>
    </row>
    <row r="3" ht="12.75" customHeight="1">
      <c r="A3" s="4" t="inlineStr">
        <is>
          <t>Progetto: Discover Tridentum — Trento Nascosta  ·  Corso: Ingegneria del Software · Prof. Paolo Giorgini · A.A. 2026-2027</t>
        </is>
      </c>
    </row>
    <row r="4" ht="12.75" customHeight="1">
      <c r="A4" s="4" t="inlineStr">
        <is>
          <t>Team: Manuel Bulla · Marco Buffa · Pietro Crea  ·  Repository: github.com/bulla06/Ing-software-prog-test-v1</t>
        </is>
      </c>
    </row>
    <row r="5" ht="12.75" customHeight="1">
      <c r="B5" s="5" t="inlineStr">
        <is>
          <t>Ore totali</t>
        </is>
      </c>
      <c r="C5" s="6">
        <f>SUM(Registro[Ore])</f>
        <v/>
      </c>
    </row>
    <row r="6" ht="12.75" customHeight="1">
      <c r="B6" s="5" t="inlineStr">
        <is>
          <t>Voci senza ore</t>
        </is>
      </c>
      <c r="C6" s="7">
        <f>COUNTIFS(Registro[Attività],"&lt;&gt;",Registro[Ore],"")</f>
        <v/>
      </c>
    </row>
    <row r="7" ht="30" customHeight="1">
      <c r="A7" s="30" t="inlineStr">
        <is>
          <t>Come si compila: scrivi una riga per ogni attività subito sotto l'ultima della tabella, i totali e il riepilogo si aggiornano da soli. Le ore vanno in decimali (1,5 = un'ora e mezza). Le celle gialle nella colonna Ore sono quelle ancora da inserire.</t>
        </is>
      </c>
    </row>
    <row r="8" ht="21.75" customHeight="1">
      <c r="A8" s="8" t="inlineStr">
        <is>
          <t>Data</t>
        </is>
      </c>
      <c r="B8" s="8" t="inlineStr">
        <is>
          <t>Attività</t>
        </is>
      </c>
      <c r="C8" s="9" t="inlineStr">
        <is>
          <t>Ore</t>
        </is>
      </c>
      <c r="D8" s="8" t="inlineStr">
        <is>
          <t>Descrizione</t>
        </is>
      </c>
      <c r="E8" s="8" t="inlineStr">
        <is>
          <t>Risultato / file</t>
        </is>
      </c>
    </row>
    <row r="9" ht="25.5" customHeight="1">
      <c r="A9" s="31" t="n">
        <v>46295</v>
      </c>
      <c r="B9" s="10" t="inlineStr">
        <is>
          <t>Fase 1 — Analisi del dominio</t>
        </is>
      </c>
      <c r="C9" s="11" t="n">
        <v>1</v>
      </c>
      <c r="D9" s="12" t="inlineStr">
        <is>
          <t>Con Manuel e Marco: analisi del dominio, 2 personas, Stakeholder Matrix e matrice di tracciabilità.</t>
        </is>
      </c>
      <c r="E9" s="12" t="inlineStr">
        <is>
          <t>docs/fase-1-analisi-dominio.md</t>
        </is>
      </c>
    </row>
    <row r="10" ht="25.5" customHeight="1">
      <c r="A10" s="31" t="n">
        <v>46295</v>
      </c>
      <c r="B10" s="10" t="inlineStr">
        <is>
          <t>Fase 2 — Specifiche dei requisiti</t>
        </is>
      </c>
      <c r="C10" s="11" t="n">
        <v>2.5</v>
      </c>
      <c r="D10" s="12" t="inlineStr">
        <is>
          <t>Con Manuel e Marco: SRS Light con requisiti funzionali (MoSCoW), requisiti non funzionali e casi d'uso.</t>
        </is>
      </c>
      <c r="E10" s="12" t="inlineStr">
        <is>
          <t>docs/fase-2-specifiche-requisiti.md</t>
        </is>
      </c>
    </row>
    <row r="11" ht="25.5" customHeight="1">
      <c r="A11" s="31" t="n">
        <v>46295</v>
      </c>
      <c r="B11" s="10" t="inlineStr">
        <is>
          <t>Fase 3 — Architettura e user flow</t>
        </is>
      </c>
      <c r="C11" s="11" t="n">
        <v>2.5</v>
      </c>
      <c r="D11" s="12" t="inlineStr">
        <is>
          <t>Con Manuel e Marco: casi d'uso in Mermaid, flusso delle schermate, architettura ad alto livello e diagrammi di sequenza.</t>
        </is>
      </c>
      <c r="E11" s="12" t="inlineStr">
        <is>
          <t>docs/fase-3-architettura-user-flow.md</t>
        </is>
      </c>
    </row>
    <row r="12" ht="25.5" customHeight="1">
      <c r="A12" s="31" t="n">
        <v>46309</v>
      </c>
      <c r="B12" s="10" t="inlineStr">
        <is>
          <t>Controllo compiti assegnati</t>
        </is>
      </c>
      <c r="C12" s="11" t="n"/>
      <c r="D12" s="12" t="inlineStr">
        <is>
          <t>14:29 – Controllato il foglio compiti e la repo aggiornata: nessuno dei 61 compiti risulta assegnato a Pietro (colonna «Assegnato a» vuota).</t>
        </is>
      </c>
      <c r="E12" s="12" t="inlineStr">
        <is>
          <t>docs/compiti.xlsx</t>
        </is>
      </c>
    </row>
    <row r="13" ht="25.5" customHeight="1">
      <c r="A13" s="31" t="n">
        <v>46310</v>
      </c>
      <c r="B13" s="10" t="inlineStr">
        <is>
          <t>Lettura del documento D1 (Descrizione di Progetto)</t>
        </is>
      </c>
      <c r="C13" s="11" t="n"/>
      <c r="D13" s="12" t="inlineStr">
        <is>
          <t>11:14 – Aperto e letto il file D1-2026-V1.2.docx assegnato al gruppo: è il modello del documento di Requirements Engineering (progetto, RF, RNF, Use Case, User Story, mockup, traceability, modifiche).</t>
        </is>
      </c>
      <c r="E13" s="12" t="inlineStr">
        <is>
          <t>D1-2026-V1.2.docx</t>
        </is>
      </c>
    </row>
    <row r="14" ht="25.5" customHeight="1">
      <c r="A14" s="31" t="n">
        <v>46310</v>
      </c>
      <c r="B14" s="10" t="inlineStr">
        <is>
          <t>Salvataggio del documento D1 in presentazioni</t>
        </is>
      </c>
      <c r="C14" s="11" t="n"/>
      <c r="D14" s="12" t="inlineStr">
        <is>
          <t>11:31 – Salvato il file D1 ricevuto dal gruppo nella cartella presentazioni con il nome «D1 finale test» e fatto il push su GitHub.</t>
        </is>
      </c>
      <c r="E14" s="12" t="inlineStr">
        <is>
          <t>presentazioni/D1 finale test.docx</t>
        </is>
      </c>
    </row>
    <row r="15" ht="38.25" customHeight="1">
      <c r="A15" s="31" t="n">
        <v>46310</v>
      </c>
      <c r="B15" s="10" t="inlineStr">
        <is>
          <t>Pulsante vista satellitare</t>
        </is>
      </c>
      <c r="C15" s="11" t="n"/>
      <c r="D15" s="12" t="inlineStr">
        <is>
          <t>Aggiunto alla mappa un pulsante per passare dalla vista normale a quella satellitare (MapTiler), ricordando la scelta; assente nel gioco "Dov'era?".</t>
        </is>
      </c>
      <c r="E15" s="12" t="inlineStr">
        <is>
          <t>versione-corrente/frontend/src/components/MappaLeaflet.jsx, lib/sfondo.js, stile.css, i18n</t>
        </is>
      </c>
    </row>
    <row r="16" ht="38.25" customHeight="1">
      <c r="A16" s="31" t="n">
        <v>46310</v>
      </c>
      <c r="B16" s="10" t="inlineStr">
        <is>
          <t>Nuova icona del sito (pin con montagne e Adige)</t>
        </is>
      </c>
      <c r="C16" s="11" t="n">
        <v>1</v>
      </c>
      <c r="D16" s="12" t="inlineStr">
        <is>
          <t>Scelta tra sei proposte e personalizzazione del pin con stella: montagne, onda dell'Adige, colori petrolio e oro. Icona e PNG per telefono e PWA rigenerati. Fatto con l'aiuto di Claude (AI).</t>
        </is>
      </c>
      <c r="E16" s="12" t="inlineStr">
        <is>
          <t>versione-corrente/frontend/public/icon.svg, icon-192.png, icon-512.png, icon-maskable-512.png, apple-touch-icon.png</t>
        </is>
      </c>
    </row>
    <row r="17" ht="38.25" customHeight="1">
      <c r="A17" s="31" t="n">
        <v>46310</v>
      </c>
      <c r="B17" s="10" t="inlineStr">
        <is>
          <t>Restyling dei colori del sito (petrolio e oro)</t>
        </is>
      </c>
      <c r="C17" s="11" t="n">
        <v>2</v>
      </c>
      <c r="D17" s="12" t="inlineStr">
        <is>
          <t>Nuova palette dai colori del logo, in tema chiaro e scuro: navigazione petrolio con voce attiva in oro, titoli con tratto d'oro, velo di colore in cima alle pagine, benvenuto su fondo petrolio. Verificato nel browser. Fatto con l'aiuto di Claude (AI).</t>
        </is>
      </c>
      <c r="E17" s="12" t="inlineStr">
        <is>
          <t>versione-corrente/frontend/src/stile.css, index.html, public/manifest.webmanifest</t>
        </is>
      </c>
    </row>
    <row r="18" ht="38.25" customHeight="1">
      <c r="A18" s="31" t="n">
        <v>46310</v>
      </c>
      <c r="B18" s="10" t="inlineStr">
        <is>
          <t>Elenco compiti più leggibile, senza le voci già fatte</t>
        </is>
      </c>
      <c r="C18" s="11" t="n">
        <v>1</v>
      </c>
      <c r="D18" s="12" t="inlineStr">
        <is>
          <t>Tolti i 42 compiti già fatti: restano i 19 da fare, divisi per area (requisiti aperti, da riverificare, documentazione, GDPR del titolare), con colonne separate per cosa fare e situazione attuale, filtri e riga fissa. Riepilogo aggiornato con la riga delle priorità non indicate. Fatto con l'aiuto di Claude (AI).</t>
        </is>
      </c>
      <c r="E18" s="12" t="inlineStr">
        <is>
          <t>docs/compiti.xlsx</t>
        </is>
      </c>
    </row>
    <row r="19" ht="38.25" customHeight="1">
      <c r="A19" s="31" t="n">
        <v>46310</v>
      </c>
      <c r="B19" s="10" t="inlineStr">
        <is>
          <t>Benvenuto: foto di Trento al posto della mappa</t>
        </is>
      </c>
      <c r="C19" s="11" t="n">
        <v>3.5</v>
      </c>
      <c r="D19" s="12" t="inlineStr">
        <is>
          <t>Tolta la mappa dalla schermata di benvenuto e messa una presentazione di 15 foto, una alla volta a tutto riquadro, che cambiano da sole ogni 5 secondi con dissolvenza e un pulsante di pausa. Alternate 8 foto storiche (le stesse di "Dov'era?") e 7 attuali di affreschi e facciate scaricate da Wikimedia Commons con licenza libera; autore e licenza in piccolo su ogni foto. Testi in italiano, inglese e tedesco; parte ferma con "riduci movimento". Sistemati anche il testo scuro sul fondo petrolio nel tema chiaro e la larghezza sul telefono. Fatto con l'aiuto di Claude (AI).</t>
        </is>
      </c>
      <c r="E19" s="12" t="inlineStr">
        <is>
          <t>versione-corrente/frontend/src/components/GalleriaBenvenuto.jsx, src/data/fotoBenvenuto.js, public/benvenuto/, src/pages/Benvenuto.jsx, src/stile.css</t>
        </is>
      </c>
    </row>
    <row r="20" ht="38.25" customHeight="1">
      <c r="A20" s="31" t="n">
        <v>46310</v>
      </c>
      <c r="B20" s="10" t="inlineStr">
        <is>
          <t>Pulsante satellite in alto a destra, solo icona</t>
        </is>
      </c>
      <c r="C20" s="11" t="n">
        <v>1</v>
      </c>
      <c r="D20" s="12" t="inlineStr">
        <is>
          <t>Il pulsante con la scritta "Satellite" è ora un'icona quadrata in alto a destra della mappa: mostra il globo per passare al satellite e la mappa per tornare indietro, con colori petrolio e oro quando il satellite è attivo. Su telefono sta sotto ricerca e filtri e gli avvisi gli lasciano posto. Aggiunta l'icona al generatore e tolti i testi non più usati. Fatto con l'aiuto di Claude (AI).</t>
        </is>
      </c>
      <c r="E20" s="12" t="inlineStr">
        <is>
          <t>versione-corrente/frontend/src/components/MappaLeaflet.jsx, src/stile.css, src/components/icone-svg.js</t>
        </is>
      </c>
    </row>
  </sheetData>
  <mergeCells count="1">
    <mergeCell ref="A7:E7"/>
  </mergeCells>
  <conditionalFormatting sqref="C9:C15">
    <cfRule type="expression" priority="2" dxfId="2">
      <formula>($B9&lt;&gt;"")*($C9="")</formula>
    </cfRule>
  </conditionalFormatting>
  <dataValidations count="2">
    <dataValidation sqref="A9:A15" showDropDown="0" showInputMessage="1" showErrorMessage="1" allowBlank="1" errorTitle="Data non valida" error="Scrivi la data come gg/mm/aaaa, per esempio 14/10/2026." type="date">
      <formula1>46023</formula1>
      <formula2>47483</formula2>
    </dataValidation>
    <dataValidation sqref="C9:C15" showDropDown="0" showInputMessage="1" showErrorMessage="1" allowBlank="1" errorTitle="Ore non valide" error="Scrivi le ore come numero tra 0 e 24 (1,5 = un'ora e mezza)." promptTitle="Ore dedicate" prompt="Numero di ore, anche decimale: 1,5 = un'ora e mezza." type="decimal">
      <formula1>0</formula1>
      <formula2>24</formula2>
    </dataValidation>
  </dataValidations>
  <pageMargins left="0.590277777777778" right="0.590277777777778" top="0.75" bottom="0.75" header="0.511811023622047" footer="0.3"/>
  <pageSetup orientation="landscape" paperSize="9" fitToHeight="0" horizontalDpi="300" verticalDpi="300"/>
  <headerFooter>
    <oddHeader/>
    <oddFooter>&amp;CLibretto attività · Pietro Crea · pag. &amp;P</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E26"/>
  <sheetViews>
    <sheetView showGridLines="0" zoomScaleNormal="100" workbookViewId="0">
      <selection activeCell="A1" sqref="A1"/>
    </sheetView>
  </sheetViews>
  <sheetFormatPr baseColWidth="8" defaultColWidth="9.06640625" defaultRowHeight="12.75"/>
  <cols>
    <col width="16.59765625" customWidth="1" style="1" min="1" max="1"/>
    <col width="14.59765625" customWidth="1" style="1" min="2" max="2"/>
    <col width="10.59765625" customWidth="1" style="1" min="3" max="3"/>
    <col width="12.59765625" customWidth="1" style="1" min="4" max="4"/>
    <col width="16.59765625" customWidth="1" style="1" min="5" max="5"/>
    <col width="9.06640625" customWidth="1" style="1" min="6" max="16384"/>
  </cols>
  <sheetData>
    <row r="1" ht="25.5" customHeight="1">
      <c r="A1" s="2" t="inlineStr">
        <is>
          <t>Riepilogo delle ore</t>
        </is>
      </c>
    </row>
    <row r="2" ht="16.5" customHeight="1">
      <c r="A2" s="3" t="inlineStr">
        <is>
          <t>Pietro Crea</t>
        </is>
      </c>
    </row>
    <row r="3" ht="42" customHeight="1">
      <c r="A3" s="30" t="inlineStr">
        <is>
          <t>Ore e voci per settimana (da lunedì a domenica), calcolate dal foglio Libretto: qui non c'è niente da compilare. La prima settimana parte da lunedì 28/09/2026, quella in cui è nato il repository (cella in blu: si può cambiare).</t>
        </is>
      </c>
    </row>
    <row r="5" ht="21.75" customHeight="1">
      <c r="A5" s="13" t="inlineStr">
        <is>
          <t>Settimana dal</t>
        </is>
      </c>
      <c r="B5" s="13" t="inlineStr">
        <is>
          <t>al</t>
        </is>
      </c>
      <c r="C5" s="13" t="inlineStr">
        <is>
          <t>Voci</t>
        </is>
      </c>
      <c r="D5" s="13" t="inlineStr">
        <is>
          <t>Ore</t>
        </is>
      </c>
      <c r="E5" s="13" t="inlineStr">
        <is>
          <t>Ore cumulate</t>
        </is>
      </c>
    </row>
    <row r="6" ht="12.75" customHeight="1">
      <c r="A6" s="14" t="n">
        <v>46293</v>
      </c>
      <c r="B6" s="15">
        <f>A6+6</f>
        <v/>
      </c>
      <c r="C6" s="16">
        <f>COUNTIFS(Registro[Data],"&gt;="&amp;A6,Registro[Data],"&lt;="&amp;B6)</f>
        <v/>
      </c>
      <c r="D6" s="17">
        <f>SUMIFS(Registro[Ore],Registro[Data],"&gt;="&amp;A6,Registro[Data],"&lt;="&amp;B6)</f>
        <v/>
      </c>
      <c r="E6" s="17">
        <f>SUM(D$6:D6)</f>
        <v/>
      </c>
    </row>
    <row r="7" ht="12.75" customHeight="1">
      <c r="A7" s="18">
        <f>A6+7</f>
        <v/>
      </c>
      <c r="B7" s="18">
        <f>A7+6</f>
        <v/>
      </c>
      <c r="C7" s="19">
        <f>COUNTIFS(Registro[Data],"&gt;="&amp;A7,Registro[Data],"&lt;="&amp;B7)</f>
        <v/>
      </c>
      <c r="D7" s="20">
        <f>SUMIFS(Registro[Ore],Registro[Data],"&gt;="&amp;A7,Registro[Data],"&lt;="&amp;B7)</f>
        <v/>
      </c>
      <c r="E7" s="20">
        <f>SUM(D$6:D7)</f>
        <v/>
      </c>
    </row>
    <row r="8" ht="12.75" customHeight="1">
      <c r="A8" s="15">
        <f>A7+7</f>
        <v/>
      </c>
      <c r="B8" s="15">
        <f>A8+6</f>
        <v/>
      </c>
      <c r="C8" s="16">
        <f>COUNTIFS(Registro[Data],"&gt;="&amp;A8,Registro[Data],"&lt;="&amp;B8)</f>
        <v/>
      </c>
      <c r="D8" s="17">
        <f>SUMIFS(Registro[Ore],Registro[Data],"&gt;="&amp;A8,Registro[Data],"&lt;="&amp;B8)</f>
        <v/>
      </c>
      <c r="E8" s="17">
        <f>SUM(D$6:D8)</f>
        <v/>
      </c>
    </row>
    <row r="9" ht="12.75" customHeight="1">
      <c r="A9" s="18">
        <f>A8+7</f>
        <v/>
      </c>
      <c r="B9" s="18">
        <f>A9+6</f>
        <v/>
      </c>
      <c r="C9" s="19">
        <f>COUNTIFS(Registro[Data],"&gt;="&amp;A9,Registro[Data],"&lt;="&amp;B9)</f>
        <v/>
      </c>
      <c r="D9" s="20">
        <f>SUMIFS(Registro[Ore],Registro[Data],"&gt;="&amp;A9,Registro[Data],"&lt;="&amp;B9)</f>
        <v/>
      </c>
      <c r="E9" s="20">
        <f>SUM(D$6:D9)</f>
        <v/>
      </c>
    </row>
    <row r="10" ht="12.75" customHeight="1">
      <c r="A10" s="15">
        <f>A9+7</f>
        <v/>
      </c>
      <c r="B10" s="15">
        <f>A10+6</f>
        <v/>
      </c>
      <c r="C10" s="16">
        <f>COUNTIFS(Registro[Data],"&gt;="&amp;A10,Registro[Data],"&lt;="&amp;B10)</f>
        <v/>
      </c>
      <c r="D10" s="17">
        <f>SUMIFS(Registro[Ore],Registro[Data],"&gt;="&amp;A10,Registro[Data],"&lt;="&amp;B10)</f>
        <v/>
      </c>
      <c r="E10" s="17">
        <f>SUM(D$6:D10)</f>
        <v/>
      </c>
    </row>
    <row r="11" ht="12.75" customHeight="1">
      <c r="A11" s="18">
        <f>A10+7</f>
        <v/>
      </c>
      <c r="B11" s="18">
        <f>A11+6</f>
        <v/>
      </c>
      <c r="C11" s="19">
        <f>COUNTIFS(Registro[Data],"&gt;="&amp;A11,Registro[Data],"&lt;="&amp;B11)</f>
        <v/>
      </c>
      <c r="D11" s="20">
        <f>SUMIFS(Registro[Ore],Registro[Data],"&gt;="&amp;A11,Registro[Data],"&lt;="&amp;B11)</f>
        <v/>
      </c>
      <c r="E11" s="20">
        <f>SUM(D$6:D11)</f>
        <v/>
      </c>
    </row>
    <row r="12" ht="12.75" customHeight="1">
      <c r="A12" s="15">
        <f>A11+7</f>
        <v/>
      </c>
      <c r="B12" s="15">
        <f>A12+6</f>
        <v/>
      </c>
      <c r="C12" s="16">
        <f>COUNTIFS(Registro[Data],"&gt;="&amp;A12,Registro[Data],"&lt;="&amp;B12)</f>
        <v/>
      </c>
      <c r="D12" s="17">
        <f>SUMIFS(Registro[Ore],Registro[Data],"&gt;="&amp;A12,Registro[Data],"&lt;="&amp;B12)</f>
        <v/>
      </c>
      <c r="E12" s="17">
        <f>SUM(D$6:D12)</f>
        <v/>
      </c>
    </row>
    <row r="13" ht="12.75" customHeight="1">
      <c r="A13" s="18">
        <f>A12+7</f>
        <v/>
      </c>
      <c r="B13" s="18">
        <f>A13+6</f>
        <v/>
      </c>
      <c r="C13" s="19">
        <f>COUNTIFS(Registro[Data],"&gt;="&amp;A13,Registro[Data],"&lt;="&amp;B13)</f>
        <v/>
      </c>
      <c r="D13" s="20">
        <f>SUMIFS(Registro[Ore],Registro[Data],"&gt;="&amp;A13,Registro[Data],"&lt;="&amp;B13)</f>
        <v/>
      </c>
      <c r="E13" s="20">
        <f>SUM(D$6:D13)</f>
        <v/>
      </c>
    </row>
    <row r="14" ht="12.75" customHeight="1">
      <c r="A14" s="15">
        <f>A13+7</f>
        <v/>
      </c>
      <c r="B14" s="15">
        <f>A14+6</f>
        <v/>
      </c>
      <c r="C14" s="16">
        <f>COUNTIFS(Registro[Data],"&gt;="&amp;A14,Registro[Data],"&lt;="&amp;B14)</f>
        <v/>
      </c>
      <c r="D14" s="17">
        <f>SUMIFS(Registro[Ore],Registro[Data],"&gt;="&amp;A14,Registro[Data],"&lt;="&amp;B14)</f>
        <v/>
      </c>
      <c r="E14" s="17">
        <f>SUM(D$6:D14)</f>
        <v/>
      </c>
    </row>
    <row r="15" ht="12.75" customHeight="1">
      <c r="A15" s="18">
        <f>A14+7</f>
        <v/>
      </c>
      <c r="B15" s="18">
        <f>A15+6</f>
        <v/>
      </c>
      <c r="C15" s="19">
        <f>COUNTIFS(Registro[Data],"&gt;="&amp;A15,Registro[Data],"&lt;="&amp;B15)</f>
        <v/>
      </c>
      <c r="D15" s="20">
        <f>SUMIFS(Registro[Ore],Registro[Data],"&gt;="&amp;A15,Registro[Data],"&lt;="&amp;B15)</f>
        <v/>
      </c>
      <c r="E15" s="20">
        <f>SUM(D$6:D15)</f>
        <v/>
      </c>
    </row>
    <row r="16" ht="12.75" customHeight="1">
      <c r="A16" s="15">
        <f>A15+7</f>
        <v/>
      </c>
      <c r="B16" s="15">
        <f>A16+6</f>
        <v/>
      </c>
      <c r="C16" s="16">
        <f>COUNTIFS(Registro[Data],"&gt;="&amp;A16,Registro[Data],"&lt;="&amp;B16)</f>
        <v/>
      </c>
      <c r="D16" s="17">
        <f>SUMIFS(Registro[Ore],Registro[Data],"&gt;="&amp;A16,Registro[Data],"&lt;="&amp;B16)</f>
        <v/>
      </c>
      <c r="E16" s="17">
        <f>SUM(D$6:D16)</f>
        <v/>
      </c>
    </row>
    <row r="17" ht="12.75" customHeight="1">
      <c r="A17" s="18">
        <f>A16+7</f>
        <v/>
      </c>
      <c r="B17" s="18">
        <f>A17+6</f>
        <v/>
      </c>
      <c r="C17" s="19">
        <f>COUNTIFS(Registro[Data],"&gt;="&amp;A17,Registro[Data],"&lt;="&amp;B17)</f>
        <v/>
      </c>
      <c r="D17" s="20">
        <f>SUMIFS(Registro[Ore],Registro[Data],"&gt;="&amp;A17,Registro[Data],"&lt;="&amp;B17)</f>
        <v/>
      </c>
      <c r="E17" s="20">
        <f>SUM(D$6:D17)</f>
        <v/>
      </c>
    </row>
    <row r="18" ht="12.75" customHeight="1">
      <c r="A18" s="15">
        <f>A17+7</f>
        <v/>
      </c>
      <c r="B18" s="15">
        <f>A18+6</f>
        <v/>
      </c>
      <c r="C18" s="16">
        <f>COUNTIFS(Registro[Data],"&gt;="&amp;A18,Registro[Data],"&lt;="&amp;B18)</f>
        <v/>
      </c>
      <c r="D18" s="17">
        <f>SUMIFS(Registro[Ore],Registro[Data],"&gt;="&amp;A18,Registro[Data],"&lt;="&amp;B18)</f>
        <v/>
      </c>
      <c r="E18" s="17">
        <f>SUM(D$6:D18)</f>
        <v/>
      </c>
    </row>
    <row r="19" ht="12.75" customHeight="1">
      <c r="A19" s="18">
        <f>A18+7</f>
        <v/>
      </c>
      <c r="B19" s="18">
        <f>A19+6</f>
        <v/>
      </c>
      <c r="C19" s="19">
        <f>COUNTIFS(Registro[Data],"&gt;="&amp;A19,Registro[Data],"&lt;="&amp;B19)</f>
        <v/>
      </c>
      <c r="D19" s="20">
        <f>SUMIFS(Registro[Ore],Registro[Data],"&gt;="&amp;A19,Registro[Data],"&lt;="&amp;B19)</f>
        <v/>
      </c>
      <c r="E19" s="20">
        <f>SUM(D$6:D19)</f>
        <v/>
      </c>
    </row>
    <row r="20" ht="12.75" customHeight="1">
      <c r="A20" s="15">
        <f>A19+7</f>
        <v/>
      </c>
      <c r="B20" s="15">
        <f>A20+6</f>
        <v/>
      </c>
      <c r="C20" s="16">
        <f>COUNTIFS(Registro[Data],"&gt;="&amp;A20,Registro[Data],"&lt;="&amp;B20)</f>
        <v/>
      </c>
      <c r="D20" s="17">
        <f>SUMIFS(Registro[Ore],Registro[Data],"&gt;="&amp;A20,Registro[Data],"&lt;="&amp;B20)</f>
        <v/>
      </c>
      <c r="E20" s="17">
        <f>SUM(D$6:D20)</f>
        <v/>
      </c>
    </row>
    <row r="21" ht="12.75" customHeight="1">
      <c r="A21" s="21">
        <f>A20+7</f>
        <v/>
      </c>
      <c r="B21" s="21">
        <f>A21+6</f>
        <v/>
      </c>
      <c r="C21" s="22">
        <f>COUNTIFS(Registro[Data],"&gt;="&amp;A21,Registro[Data],"&lt;="&amp;B21)</f>
        <v/>
      </c>
      <c r="D21" s="23">
        <f>SUMIFS(Registro[Ore],Registro[Data],"&gt;="&amp;A21,Registro[Data],"&lt;="&amp;B21)</f>
        <v/>
      </c>
      <c r="E21" s="23">
        <f>SUM(D$6:D21)</f>
        <v/>
      </c>
    </row>
    <row r="22" ht="12.75" customHeight="1">
      <c r="A22" s="24" t="inlineStr">
        <is>
          <t>Totale</t>
        </is>
      </c>
      <c r="B22" s="25" t="n"/>
      <c r="C22" s="26">
        <f>SUM(C6:C21)</f>
        <v/>
      </c>
      <c r="D22" s="27">
        <f>SUM(D6:D21)</f>
        <v/>
      </c>
      <c r="E22" s="25" t="n"/>
    </row>
    <row r="24" ht="12.75" customHeight="1">
      <c r="A24" s="28" t="inlineStr">
        <is>
          <t>Ore nel Libretto</t>
        </is>
      </c>
      <c r="B24" s="28" t="n"/>
      <c r="C24" s="28" t="n"/>
      <c r="D24" s="29">
        <f>SUM(Registro[Ore])</f>
        <v/>
      </c>
    </row>
    <row r="25" ht="12.75" customHeight="1">
      <c r="A25" s="28" t="inlineStr">
        <is>
          <t>Fuori dalle settimane elencate</t>
        </is>
      </c>
      <c r="B25" s="28" t="n"/>
      <c r="C25" s="28" t="n"/>
      <c r="D25" s="29">
        <f>D24-D22</f>
        <v/>
      </c>
    </row>
    <row r="26" ht="42" customHeight="1">
      <c r="A26" s="30" t="inlineStr">
        <is>
          <t>Se 'Fuori dalle settimane elencate' non è zero, ci sono voci con una data oltre l'ultima settimana: inserisci una riga sopra l'ultima settimana e copia le formule dalla riga precedente.</t>
        </is>
      </c>
    </row>
  </sheetData>
  <mergeCells count="2">
    <mergeCell ref="A26:E26"/>
    <mergeCell ref="A3:E3"/>
  </mergeCells>
  <conditionalFormatting sqref="D25">
    <cfRule type="cellIs" priority="2" operator="notEqual" dxfId="1">
      <formula>0</formula>
    </cfRule>
  </conditionalFormatting>
  <pageMargins left="0.7" right="0.7" top="0.75" bottom="0.75" header="0.511811023622047" footer="0.3"/>
  <pageSetup orientation="portrait" paperSize="9" horizontalDpi="300" verticalDpi="300"/>
  <headerFooter>
    <oddHeader/>
    <oddFooter>&amp;CLibretto attività · Pietro Crea · pag.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Bulla, Manuel</dc:creator>
  <dc:language>en-US</dc:language>
  <dcterms:created xsi:type="dcterms:W3CDTF">2026-10-14T11:30:17Z</dcterms:created>
  <dcterms:modified xsi:type="dcterms:W3CDTF">2026-10-15T16:38:52Z</dcterms:modified>
  <cp:lastModifiedBy>Bulla, Manuel</cp:lastModifiedBy>
  <cp:revision>0</cp:revision>
</cp:coreProperties>
</file>