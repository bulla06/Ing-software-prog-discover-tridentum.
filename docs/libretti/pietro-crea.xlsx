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41225A6B-67E7-4405-A67E-C748FE406864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2" l="1"/>
  <c r="A7" i="2"/>
  <c r="B6" i="2"/>
  <c r="C6" i="1"/>
  <c r="C5" i="1"/>
  <c r="C7" i="2" l="1"/>
  <c r="D7" i="2"/>
  <c r="B7" i="2"/>
  <c r="A8" i="2"/>
  <c r="D6" i="2"/>
  <c r="C6" i="2"/>
  <c r="A9" i="2" l="1"/>
  <c r="B8" i="2"/>
  <c r="E6" i="2"/>
  <c r="E7" i="2"/>
  <c r="A10" i="2" l="1"/>
  <c r="B9" i="2"/>
  <c r="D8" i="2"/>
  <c r="C8" i="2"/>
  <c r="A11" i="2" l="1"/>
  <c r="B10" i="2"/>
  <c r="C10" i="2" s="1"/>
  <c r="D10" i="2"/>
  <c r="E8" i="2"/>
  <c r="D9" i="2"/>
  <c r="C9" i="2"/>
  <c r="A12" i="2" l="1"/>
  <c r="C11" i="2"/>
  <c r="B11" i="2"/>
  <c r="D11" i="2" s="1"/>
  <c r="E10" i="2"/>
  <c r="E9" i="2"/>
  <c r="A13" i="2" l="1"/>
  <c r="C12" i="2"/>
  <c r="B12" i="2"/>
  <c r="D12" i="2" s="1"/>
  <c r="E11" i="2"/>
  <c r="B13" i="2" l="1"/>
  <c r="C13" i="2"/>
  <c r="D13" i="2"/>
  <c r="A14" i="2"/>
  <c r="E12" i="2"/>
  <c r="B14" i="2" l="1"/>
  <c r="C14" i="2"/>
  <c r="D14" i="2"/>
  <c r="E14" i="2" s="1"/>
  <c r="A15" i="2"/>
  <c r="E13" i="2"/>
  <c r="B15" i="2" l="1"/>
  <c r="C15" i="2" s="1"/>
  <c r="A16" i="2"/>
  <c r="D15" i="2"/>
  <c r="B16" i="2" l="1"/>
  <c r="C16" i="2"/>
  <c r="A17" i="2"/>
  <c r="D16" i="2"/>
  <c r="E16" i="2" s="1"/>
  <c r="E15" i="2"/>
  <c r="B17" i="2" l="1"/>
  <c r="A18" i="2"/>
  <c r="B18" i="2" l="1"/>
  <c r="C18" i="2" s="1"/>
  <c r="D18" i="2"/>
  <c r="A19" i="2"/>
  <c r="C17" i="2"/>
  <c r="D17" i="2"/>
  <c r="B19" i="2" l="1"/>
  <c r="C19" i="2"/>
  <c r="D19" i="2"/>
  <c r="A20" i="2"/>
  <c r="E18" i="2"/>
  <c r="E17" i="2"/>
  <c r="E19" i="2" l="1"/>
  <c r="B20" i="2"/>
  <c r="C20" i="2"/>
  <c r="D20" i="2"/>
  <c r="E20" i="2" s="1"/>
  <c r="A21" i="2"/>
  <c r="B21" i="2" l="1"/>
  <c r="D21" i="2"/>
  <c r="C21" i="2"/>
  <c r="C22" i="2" s="1"/>
  <c r="E21" i="2" l="1"/>
  <c r="D22" i="2"/>
  <c r="D25" i="2" s="1"/>
</calcChain>
</file>

<file path=xl/sharedStrings.xml><?xml version="1.0" encoding="utf-8"?>
<sst xmlns="http://schemas.openxmlformats.org/spreadsheetml/2006/main" count="45" uniqueCount="43">
  <si>
    <t>Libretto delle attività</t>
  </si>
  <si>
    <t>Pietro Crea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</si>
  <si>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</si>
  <si>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</si>
  <si>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</si>
  <si>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</si>
  <si>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</si>
  <si>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</si>
  <si>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</si>
  <si>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</si>
  <si>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</si>
  <si>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</si>
  <si>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Fase 1 — Analisi del dominio</t>
  </si>
  <si>
    <t>Con Manuel e Marco: analisi del dominio, 2 personas, Stakeholder Matrix e matrice di tracciabilità.</t>
  </si>
  <si>
    <t>docs/fase-1-analisi-dominio.md</t>
  </si>
  <si>
    <t>Fase 2 — Specifiche dei requisiti</t>
  </si>
  <si>
    <t>Con Manuel e Marco: SRS Light con requisiti funzionali (MoSCoW), requisiti non funzionali e casi d'uso.</t>
  </si>
  <si>
    <t>docs/fase-2-specifiche-requisiti.md</t>
  </si>
  <si>
    <t>Fase 3 — Architettura e user flow</t>
  </si>
  <si>
    <t>Con Manuel e Marco: casi d'uso in Mermaid, flusso delle schermate, architettura ad alto livello e diagrammi di sequenza.</t>
  </si>
  <si>
    <t>docs/fase-3-architettura-user-flow.md</t>
  </si>
  <si>
    <t>Controllo compiti assegnati</t>
  </si>
  <si>
    <t>14:29 – Controllato il foglio compiti e la repo aggiornata: nessuno dei 61 compiti risulta assegnato a Pietro (colonna «Assegnato a» vuota).</t>
  </si>
  <si>
    <t>docs/compiti.xlsx</t>
  </si>
  <si>
    <t>Lettura del documento D1 (Descrizione di Progetto)</t>
  </si>
  <si>
    <t>11:14 – Aperto e letto il file D1-2026-V1.2.docx assegnato al gruppo: è il modello del documento di Requirements Engineering (progetto, RF, RNF, Use Case, User Story, mockup, traceability, modifiche).</t>
  </si>
  <si>
    <t>D1-2026-V1.2.docx</t>
  </si>
  <si>
    <t>Salvataggio del documento D1 in presentazioni</t>
  </si>
  <si>
    <t>11:31 – Salvato il file D1 ricevuto dal gruppo nella cartella presentazioni con il nome «D1 finale test» e fatto il push su GitHub.</t>
  </si>
  <si>
    <t>presentazioni/D1 finale test.docx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</si>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</sst>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m/d/yyyy"/>
    <numFmt numFmtId="166" formatCode="0;\-0;\-"/>
    <numFmt numFmtId="167" formatCode="0.0;\-0.0;\-"/>
  </numFmts>
  <fonts count="9" x14ac:knownFonts="1">
    <font>
      <sz val="11"/>
      <color theme="1"/>
      <name val="Aptos Narrow"/>
      <family val="2"/>
      <charset val="1"/>
    </font>
    <font>
      <sz val="10"/>
      <color theme="1"/>
      <name val="Arial"/>
      <family val="2"/>
      <charset val="1"/>
    </font>
    <font>
      <b/>
      <sz val="18"/>
      <color rgb="FF1B2428"/>
      <name val="Arial"/>
      <family val="2"/>
      <charset val="1"/>
    </font>
    <font>
      <b/>
      <sz val="13"/>
      <color theme="1"/>
      <name val="Arial"/>
      <family val="2"/>
      <charset val="1"/>
    </font>
    <font>
      <sz val="10"/>
      <color rgb="FF6B6B6B"/>
      <name val="Arial"/>
      <family val="2"/>
      <charset val="1"/>
    </font>
    <font>
      <b/>
      <sz val="10"/>
      <color theme="1"/>
      <name val="Arial"/>
      <family val="2"/>
      <charset val="1"/>
    </font>
    <font>
      <i/>
      <sz val="10"/>
      <color rgb="FF6B6B6B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B2428"/>
        <bgColor rgb="FF333300"/>
      </patternFill>
    </fill>
    <fill>
      <patternFill patternType="solid">
        <fgColor rgb="FFFBF8F3"/>
        <bgColor rgb="FFFFFFFF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164" fontId="8" fillId="0" borderId="0" xfId="0" applyNumberFormat="1" applyFont="1" applyAlignment="1">
      <alignment horizontal="center" vertical="top"/>
    </xf>
    <xf numFmtId="0" fontId="1" fillId="0" borderId="0" xfId="0" applyFont="1" applyAlignment="1">
      <alignment vertical="top" wrapText="1"/>
    </xf>
    <xf numFmtId="0" fontId="7" fillId="2" borderId="1" xfId="0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7" fontId="1" fillId="3" borderId="1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167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167" fontId="5" fillId="0" borderId="3" xfId="0" applyNumberFormat="1" applyFont="1" applyBorder="1" applyAlignment="1">
      <alignment horizontal="center"/>
    </xf>
    <xf numFmtId="0" fontId="5" fillId="0" borderId="0" xfId="0" applyFont="1"/>
    <xf numFmtId="167" fontId="5" fillId="0" borderId="0" xfId="0" applyNumberFormat="1" applyFont="1" applyAlignment="1">
      <alignment horizontal="center"/>
    </xf>
    <xf numFmtId="0" fontId="6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</cellXfs>
  <cellStyles count="1">
    <cellStyle name="Normale" xfId="0" builtinId="0"/>
  </cellStyles>
  <dxfs count="3">
    <dxf>
      <numFmt numFmtId="19" formatCode="dd/mm/yyyy"/>
    </dxf>
    <dxf>
      <font>
        <b/>
        <color rgb="FFC00000"/>
      </font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0"/>
      <rgbColor rgb="FF808080"/>
      <rgbColor rgb="FF9999FF"/>
      <rgbColor rgb="FF993366"/>
      <rgbColor rgb="FFFFF2CC"/>
      <rgbColor rgb="FFFB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2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" displayName="Registro" ref="A8:E15" totalsRowShown="0">
  <autoFilter ref="A8:E1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0000000-0010-0000-0000-000001000000}" name="Data" dataDxfId="0"/>
    <tableColumn id="2" xr3:uid="{00000000-0010-0000-0000-000002000000}" name="Attività"/>
    <tableColumn id="3" xr3:uid="{00000000-0010-0000-0000-000003000000}" name="Ore"/>
    <tableColumn id="4" xr3:uid="{00000000-0010-0000-0000-000004000000}" name="Descrizione"/>
    <tableColumn id="5" xr3:uid="{00000000-0010-0000-0000-000005000000}" name="Risultato / fil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5"/>
  <sheetViews>
    <sheetView showGridLines="0" tabSelected="1" zoomScaleNormal="100" workbookViewId="0">
      <pane ySplit="8" topLeftCell="A9" activePane="bottomLeft" state="frozen"/>
      <selection pane="bottomLeft" activeCell="A15" sqref="A15:E15"/>
    </sheetView>
  </sheetViews>
  <sheetFormatPr defaultColWidth="9.06640625"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5.5" customHeight="1" x14ac:dyDescent="0.6">
      <c r="A1" s="2" t="s">
        <v>0</v>
      </c>
    </row>
    <row r="2" spans="1:5" ht="16.5" customHeight="1" x14ac:dyDescent="0.5">
      <c r="A2" s="3" t="s">
        <v>1</v>
      </c>
    </row>
    <row r="3" spans="1:5" ht="12.75" customHeight="1" x14ac:dyDescent="0.35">
      <c r="A3" s="4" t="s">
        <v>2</v>
      </c>
    </row>
    <row r="4" spans="1:5" ht="12.75" customHeight="1" x14ac:dyDescent="0.35">
      <c r="A4" s="4" t="s">
        <v>3</v>
      </c>
    </row>
    <row r="5" spans="1:5" ht="12.75" customHeight="1" x14ac:dyDescent="0.4">
      <c r="B5" s="5" t="s">
        <v>4</v>
      </c>
      <c r="C5" s="6">
        <f>SUM(Registro[Ore])</f>
        <v>6</v>
      </c>
    </row>
    <row r="6" spans="1:5" ht="12.75" customHeight="1" x14ac:dyDescent="0.4">
      <c r="B6" s="5" t="s">
        <v>5</v>
      </c>
      <c r="C6" s="7">
        <f>COUNTIFS(Registro[Attività],"&lt;&gt;",Registro[Ore],"")</f>
        <v>4</v>
      </c>
    </row>
    <row r="7" spans="1:5" ht="30" customHeight="1" x14ac:dyDescent="0.35">
      <c r="A7" s="30" t="s">
        <v>6</v>
      </c>
      <c r="B7" s="30"/>
      <c r="C7" s="30"/>
      <c r="D7" s="30"/>
      <c r="E7" s="30"/>
    </row>
    <row r="8" spans="1:5" ht="21.75" customHeight="1" x14ac:dyDescent="0.35">
      <c r="A8" s="8" t="s">
        <v>7</v>
      </c>
      <c r="B8" s="8" t="s">
        <v>8</v>
      </c>
      <c r="C8" s="9" t="s">
        <v>9</v>
      </c>
      <c r="D8" s="8" t="s">
        <v>10</v>
      </c>
      <c r="E8" s="8" t="s">
        <v>11</v>
      </c>
    </row>
    <row r="9" spans="1:5" ht="25.5" customHeight="1" x14ac:dyDescent="0.35">
      <c r="A9" s="31">
        <v>46295</v>
      </c>
      <c r="B9" s="10" t="s">
        <v>12</v>
      </c>
      <c r="C9" s="11">
        <v>1</v>
      </c>
      <c r="D9" s="12" t="s">
        <v>13</v>
      </c>
      <c r="E9" s="12" t="s">
        <v>14</v>
      </c>
    </row>
    <row r="10" spans="1:5" ht="25.5" customHeight="1" x14ac:dyDescent="0.35">
      <c r="A10" s="31">
        <v>46295</v>
      </c>
      <c r="B10" s="10" t="s">
        <v>15</v>
      </c>
      <c r="C10" s="11">
        <v>2.5</v>
      </c>
      <c r="D10" s="12" t="s">
        <v>16</v>
      </c>
      <c r="E10" s="12" t="s">
        <v>17</v>
      </c>
    </row>
    <row r="11" spans="1:5" ht="25.5" customHeight="1" x14ac:dyDescent="0.35">
      <c r="A11" s="31">
        <v>46295</v>
      </c>
      <c r="B11" s="10" t="s">
        <v>18</v>
      </c>
      <c r="C11" s="11">
        <v>2.5</v>
      </c>
      <c r="D11" s="12" t="s">
        <v>19</v>
      </c>
      <c r="E11" s="12" t="s">
        <v>20</v>
      </c>
    </row>
    <row r="12" spans="1:5" ht="25.5" customHeight="1" x14ac:dyDescent="0.35">
      <c r="A12" s="31">
        <v>46309</v>
      </c>
      <c r="B12" s="10" t="s">
        <v>21</v>
      </c>
      <c r="C12" s="11"/>
      <c r="D12" s="12" t="s">
        <v>22</v>
      </c>
      <c r="E12" s="12" t="s">
        <v>23</v>
      </c>
    </row>
    <row r="13" spans="1:5" ht="25.5" customHeight="1" x14ac:dyDescent="0.35">
      <c r="A13" s="31">
        <v>46310</v>
      </c>
      <c r="B13" s="10" t="s">
        <v>24</v>
      </c>
      <c r="C13" s="11"/>
      <c r="D13" s="12" t="s">
        <v>25</v>
      </c>
      <c r="E13" s="12" t="s">
        <v>26</v>
      </c>
    </row>
    <row r="14" spans="1:5" ht="25.5" customHeight="1" x14ac:dyDescent="0.35">
      <c r="A14" s="31">
        <v>46310</v>
      </c>
      <c r="B14" s="10" t="s">
        <v>27</v>
      </c>
      <c r="C14" s="11"/>
      <c r="D14" s="12" t="s">
        <v>28</v>
      </c>
      <c r="E14" s="12" t="s">
        <v>29</v>
      </c>
    </row>
    <row r="15" spans="1:5" ht="38.25" x14ac:dyDescent="0.35">
      <c r="A15" s="31">
        <v>46310</v>
      </c>
      <c r="B15" s="10" t="s">
        <v>40</v>
      </c>
      <c r="C15" s="11"/>
      <c r="D15" s="12" t="s">
        <v>41</v>
      </c>
      <c r="E15" s="12" t="s">
        <v>42</v>
      </c>
    </row>
  </sheetData>
  <mergeCells count="1">
    <mergeCell ref="A7:E7"/>
  </mergeCells>
  <conditionalFormatting sqref="C9:C15">
    <cfRule type="expression" dxfId="2" priority="2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5" xr:uid="{00000000-0002-0000-0000-000000000000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5" xr:uid="{00000000-0002-0000-0000-000001000000}">
      <formula1>0</formula1>
      <formula2>24</formula2>
    </dataValidation>
  </dataValidations>
  <pageMargins left="0.59027777777777801" right="0.59027777777777801" top="0.75" bottom="0.75" header="0.511811023622047" footer="0.3"/>
  <pageSetup paperSize="9" fitToHeight="0" orientation="landscape" horizontalDpi="300" verticalDpi="300"/>
  <headerFooter>
    <oddFooter>&amp;CLibretto attività · Pietro Crea · pag.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6"/>
  <sheetViews>
    <sheetView showGridLines="0" zoomScaleNormal="100" workbookViewId="0"/>
  </sheetViews>
  <sheetFormatPr defaultColWidth="9.06640625"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5.5" customHeight="1" x14ac:dyDescent="0.6">
      <c r="A1" s="2" t="s">
        <v>30</v>
      </c>
    </row>
    <row r="2" spans="1:5" ht="16.5" customHeight="1" x14ac:dyDescent="0.5">
      <c r="A2" s="3" t="s">
        <v>1</v>
      </c>
    </row>
    <row r="3" spans="1:5" ht="42" customHeight="1" x14ac:dyDescent="0.35">
      <c r="A3" s="30" t="s">
        <v>31</v>
      </c>
      <c r="B3" s="30"/>
      <c r="C3" s="30"/>
      <c r="D3" s="30"/>
      <c r="E3" s="30"/>
    </row>
    <row r="5" spans="1:5" ht="21.75" customHeight="1" x14ac:dyDescent="0.35">
      <c r="A5" s="13" t="s">
        <v>32</v>
      </c>
      <c r="B5" s="13" t="s">
        <v>33</v>
      </c>
      <c r="C5" s="13" t="s">
        <v>34</v>
      </c>
      <c r="D5" s="13" t="s">
        <v>9</v>
      </c>
      <c r="E5" s="13" t="s">
        <v>35</v>
      </c>
    </row>
    <row r="6" spans="1:5" ht="12.75" customHeight="1" x14ac:dyDescent="0.35">
      <c r="A6" s="14">
        <v>46293</v>
      </c>
      <c r="B6" s="15">
        <f t="shared" ref="B6:B21" si="0">A6+6</f>
        <v>46299</v>
      </c>
      <c r="C6" s="16">
        <f>COUNTIFS(Registro[Data],"&gt;="&amp;A6,Registro[Data],"&lt;="&amp;B6)</f>
        <v>3</v>
      </c>
      <c r="D6" s="17">
        <f>SUMIFS(Registro[Ore],Registro[Data],"&gt;="&amp;A6,Registro[Data],"&lt;="&amp;B6)</f>
        <v>6</v>
      </c>
      <c r="E6" s="17">
        <f>SUM(D$6:D6)</f>
        <v>6</v>
      </c>
    </row>
    <row r="7" spans="1:5" ht="12.75" customHeight="1" x14ac:dyDescent="0.35">
      <c r="A7" s="18">
        <f t="shared" ref="A7:A21" si="1">A6+7</f>
        <v>46300</v>
      </c>
      <c r="B7" s="18">
        <f t="shared" si="0"/>
        <v>46306</v>
      </c>
      <c r="C7" s="19">
        <f>COUNTIFS(Registro[Data],"&gt;="&amp;A7,Registro[Data],"&lt;="&amp;B7)</f>
        <v>0</v>
      </c>
      <c r="D7" s="20">
        <f>SUMIFS(Registro[Ore],Registro[Data],"&gt;="&amp;A7,Registro[Data],"&lt;="&amp;B7)</f>
        <v>0</v>
      </c>
      <c r="E7" s="20">
        <f>SUM(D$6:D7)</f>
        <v>6</v>
      </c>
    </row>
    <row r="8" spans="1:5" ht="12.75" customHeight="1" x14ac:dyDescent="0.35">
      <c r="A8" s="15">
        <f t="shared" si="1"/>
        <v>46307</v>
      </c>
      <c r="B8" s="15">
        <f t="shared" si="0"/>
        <v>46313</v>
      </c>
      <c r="C8" s="16">
        <f>COUNTIFS(Registro[Data],"&gt;="&amp;A8,Registro[Data],"&lt;="&amp;B8)</f>
        <v>4</v>
      </c>
      <c r="D8" s="17">
        <f>SUMIFS(Registro[Ore],Registro[Data],"&gt;="&amp;A8,Registro[Data],"&lt;="&amp;B8)</f>
        <v>0</v>
      </c>
      <c r="E8" s="17">
        <f>SUM(D$6:D8)</f>
        <v>6</v>
      </c>
    </row>
    <row r="9" spans="1:5" ht="12.75" customHeight="1" x14ac:dyDescent="0.35">
      <c r="A9" s="18">
        <f t="shared" si="1"/>
        <v>46314</v>
      </c>
      <c r="B9" s="18">
        <f t="shared" si="0"/>
        <v>46320</v>
      </c>
      <c r="C9" s="19">
        <f>COUNTIFS(Registro[Data],"&gt;="&amp;A9,Registro[Data],"&lt;="&amp;B9)</f>
        <v>0</v>
      </c>
      <c r="D9" s="20">
        <f>SUMIFS(Registro[Ore],Registro[Data],"&gt;="&amp;A9,Registro[Data],"&lt;="&amp;B9)</f>
        <v>0</v>
      </c>
      <c r="E9" s="20">
        <f>SUM(D$6:D9)</f>
        <v>6</v>
      </c>
    </row>
    <row r="10" spans="1:5" ht="12.75" customHeight="1" x14ac:dyDescent="0.35">
      <c r="A10" s="15">
        <f t="shared" si="1"/>
        <v>46321</v>
      </c>
      <c r="B10" s="15">
        <f t="shared" si="0"/>
        <v>46327</v>
      </c>
      <c r="C10" s="16">
        <f>COUNTIFS(Registro[Data],"&gt;="&amp;A10,Registro[Data],"&lt;="&amp;B10)</f>
        <v>0</v>
      </c>
      <c r="D10" s="17">
        <f>SUMIFS(Registro[Ore],Registro[Data],"&gt;="&amp;A10,Registro[Data],"&lt;="&amp;B10)</f>
        <v>0</v>
      </c>
      <c r="E10" s="17">
        <f>SUM(D$6:D10)</f>
        <v>6</v>
      </c>
    </row>
    <row r="11" spans="1:5" ht="12.75" customHeight="1" x14ac:dyDescent="0.35">
      <c r="A11" s="18">
        <f t="shared" si="1"/>
        <v>46328</v>
      </c>
      <c r="B11" s="18">
        <f t="shared" si="0"/>
        <v>46334</v>
      </c>
      <c r="C11" s="19">
        <f>COUNTIFS(Registro[Data],"&gt;="&amp;A11,Registro[Data],"&lt;="&amp;B11)</f>
        <v>0</v>
      </c>
      <c r="D11" s="20">
        <f>SUMIFS(Registro[Ore],Registro[Data],"&gt;="&amp;A11,Registro[Data],"&lt;="&amp;B11)</f>
        <v>0</v>
      </c>
      <c r="E11" s="20">
        <f>SUM(D$6:D11)</f>
        <v>6</v>
      </c>
    </row>
    <row r="12" spans="1:5" ht="12.75" customHeight="1" x14ac:dyDescent="0.35">
      <c r="A12" s="15">
        <f t="shared" si="1"/>
        <v>46335</v>
      </c>
      <c r="B12" s="15">
        <f t="shared" si="0"/>
        <v>46341</v>
      </c>
      <c r="C12" s="16">
        <f>COUNTIFS(Registro[Data],"&gt;="&amp;A12,Registro[Data],"&lt;="&amp;B12)</f>
        <v>0</v>
      </c>
      <c r="D12" s="17">
        <f>SUMIFS(Registro[Ore],Registro[Data],"&gt;="&amp;A12,Registro[Data],"&lt;="&amp;B12)</f>
        <v>0</v>
      </c>
      <c r="E12" s="17">
        <f>SUM(D$6:D12)</f>
        <v>6</v>
      </c>
    </row>
    <row r="13" spans="1:5" ht="12.75" customHeight="1" x14ac:dyDescent="0.35">
      <c r="A13" s="18">
        <f t="shared" si="1"/>
        <v>46342</v>
      </c>
      <c r="B13" s="18">
        <f t="shared" si="0"/>
        <v>46348</v>
      </c>
      <c r="C13" s="19">
        <f>COUNTIFS(Registro[Data],"&gt;="&amp;A13,Registro[Data],"&lt;="&amp;B13)</f>
        <v>0</v>
      </c>
      <c r="D13" s="20">
        <f>SUMIFS(Registro[Ore],Registro[Data],"&gt;="&amp;A13,Registro[Data],"&lt;="&amp;B13)</f>
        <v>0</v>
      </c>
      <c r="E13" s="20">
        <f>SUM(D$6:D13)</f>
        <v>6</v>
      </c>
    </row>
    <row r="14" spans="1:5" ht="12.75" customHeight="1" x14ac:dyDescent="0.35">
      <c r="A14" s="15">
        <f t="shared" si="1"/>
        <v>46349</v>
      </c>
      <c r="B14" s="15">
        <f t="shared" si="0"/>
        <v>46355</v>
      </c>
      <c r="C14" s="16">
        <f>COUNTIFS(Registro[Data],"&gt;="&amp;A14,Registro[Data],"&lt;="&amp;B14)</f>
        <v>0</v>
      </c>
      <c r="D14" s="17">
        <f>SUMIFS(Registro[Ore],Registro[Data],"&gt;="&amp;A14,Registro[Data],"&lt;="&amp;B14)</f>
        <v>0</v>
      </c>
      <c r="E14" s="17">
        <f>SUM(D$6:D14)</f>
        <v>6</v>
      </c>
    </row>
    <row r="15" spans="1:5" ht="12.75" customHeight="1" x14ac:dyDescent="0.35">
      <c r="A15" s="18">
        <f t="shared" si="1"/>
        <v>46356</v>
      </c>
      <c r="B15" s="18">
        <f t="shared" si="0"/>
        <v>46362</v>
      </c>
      <c r="C15" s="19">
        <f>COUNTIFS(Registro[Data],"&gt;="&amp;A15,Registro[Data],"&lt;="&amp;B15)</f>
        <v>0</v>
      </c>
      <c r="D15" s="20">
        <f>SUMIFS(Registro[Ore],Registro[Data],"&gt;="&amp;A15,Registro[Data],"&lt;="&amp;B15)</f>
        <v>0</v>
      </c>
      <c r="E15" s="20">
        <f>SUM(D$6:D15)</f>
        <v>6</v>
      </c>
    </row>
    <row r="16" spans="1:5" ht="12.75" customHeight="1" x14ac:dyDescent="0.35">
      <c r="A16" s="15">
        <f t="shared" si="1"/>
        <v>46363</v>
      </c>
      <c r="B16" s="15">
        <f t="shared" si="0"/>
        <v>46369</v>
      </c>
      <c r="C16" s="16">
        <f>COUNTIFS(Registro[Data],"&gt;="&amp;A16,Registro[Data],"&lt;="&amp;B16)</f>
        <v>0</v>
      </c>
      <c r="D16" s="17">
        <f>SUMIFS(Registro[Ore],Registro[Data],"&gt;="&amp;A16,Registro[Data],"&lt;="&amp;B16)</f>
        <v>0</v>
      </c>
      <c r="E16" s="17">
        <f>SUM(D$6:D16)</f>
        <v>6</v>
      </c>
    </row>
    <row r="17" spans="1:5" ht="12.75" customHeight="1" x14ac:dyDescent="0.35">
      <c r="A17" s="18">
        <f t="shared" si="1"/>
        <v>46370</v>
      </c>
      <c r="B17" s="18">
        <f t="shared" si="0"/>
        <v>46376</v>
      </c>
      <c r="C17" s="19">
        <f>COUNTIFS(Registro[Data],"&gt;="&amp;A17,Registro[Data],"&lt;="&amp;B17)</f>
        <v>0</v>
      </c>
      <c r="D17" s="20">
        <f>SUMIFS(Registro[Ore],Registro[Data],"&gt;="&amp;A17,Registro[Data],"&lt;="&amp;B17)</f>
        <v>0</v>
      </c>
      <c r="E17" s="20">
        <f>SUM(D$6:D17)</f>
        <v>6</v>
      </c>
    </row>
    <row r="18" spans="1:5" ht="12.75" customHeight="1" x14ac:dyDescent="0.35">
      <c r="A18" s="15">
        <f t="shared" si="1"/>
        <v>46377</v>
      </c>
      <c r="B18" s="15">
        <f t="shared" si="0"/>
        <v>46383</v>
      </c>
      <c r="C18" s="16">
        <f>COUNTIFS(Registro[Data],"&gt;="&amp;A18,Registro[Data],"&lt;="&amp;B18)</f>
        <v>0</v>
      </c>
      <c r="D18" s="17">
        <f>SUMIFS(Registro[Ore],Registro[Data],"&gt;="&amp;A18,Registro[Data],"&lt;="&amp;B18)</f>
        <v>0</v>
      </c>
      <c r="E18" s="17">
        <f>SUM(D$6:D18)</f>
        <v>6</v>
      </c>
    </row>
    <row r="19" spans="1:5" ht="12.75" customHeight="1" x14ac:dyDescent="0.35">
      <c r="A19" s="18">
        <f t="shared" si="1"/>
        <v>46384</v>
      </c>
      <c r="B19" s="18">
        <f t="shared" si="0"/>
        <v>46390</v>
      </c>
      <c r="C19" s="19">
        <f>COUNTIFS(Registro[Data],"&gt;="&amp;A19,Registro[Data],"&lt;="&amp;B19)</f>
        <v>0</v>
      </c>
      <c r="D19" s="20">
        <f>SUMIFS(Registro[Ore],Registro[Data],"&gt;="&amp;A19,Registro[Data],"&lt;="&amp;B19)</f>
        <v>0</v>
      </c>
      <c r="E19" s="20">
        <f>SUM(D$6:D19)</f>
        <v>6</v>
      </c>
    </row>
    <row r="20" spans="1:5" ht="12.75" customHeight="1" x14ac:dyDescent="0.35">
      <c r="A20" s="15">
        <f t="shared" si="1"/>
        <v>46391</v>
      </c>
      <c r="B20" s="15">
        <f t="shared" si="0"/>
        <v>46397</v>
      </c>
      <c r="C20" s="16">
        <f>COUNTIFS(Registro[Data],"&gt;="&amp;A20,Registro[Data],"&lt;="&amp;B20)</f>
        <v>0</v>
      </c>
      <c r="D20" s="17">
        <f>SUMIFS(Registro[Ore],Registro[Data],"&gt;="&amp;A20,Registro[Data],"&lt;="&amp;B20)</f>
        <v>0</v>
      </c>
      <c r="E20" s="17">
        <f>SUM(D$6:D20)</f>
        <v>6</v>
      </c>
    </row>
    <row r="21" spans="1:5" ht="12.75" customHeight="1" x14ac:dyDescent="0.35">
      <c r="A21" s="21">
        <f t="shared" si="1"/>
        <v>46398</v>
      </c>
      <c r="B21" s="21">
        <f t="shared" si="0"/>
        <v>46404</v>
      </c>
      <c r="C21" s="22">
        <f>COUNTIFS(Registro[Data],"&gt;="&amp;A21,Registro[Data],"&lt;="&amp;B21)</f>
        <v>0</v>
      </c>
      <c r="D21" s="23">
        <f>SUMIFS(Registro[Ore],Registro[Data],"&gt;="&amp;A21,Registro[Data],"&lt;="&amp;B21)</f>
        <v>0</v>
      </c>
      <c r="E21" s="23">
        <f>SUM(D$6:D21)</f>
        <v>6</v>
      </c>
    </row>
    <row r="22" spans="1:5" ht="12.75" customHeight="1" x14ac:dyDescent="0.4">
      <c r="A22" s="24" t="s">
        <v>36</v>
      </c>
      <c r="B22" s="25"/>
      <c r="C22" s="26">
        <f>SUM(C6:C21)</f>
        <v>7</v>
      </c>
      <c r="D22" s="27">
        <f>SUM(D6:D21)</f>
        <v>6</v>
      </c>
      <c r="E22" s="25"/>
    </row>
    <row r="24" spans="1:5" ht="12.75" customHeight="1" x14ac:dyDescent="0.4">
      <c r="A24" s="28" t="s">
        <v>37</v>
      </c>
      <c r="B24" s="28"/>
      <c r="C24" s="28"/>
      <c r="D24" s="29">
        <f>SUM(Registro[Ore])</f>
        <v>6</v>
      </c>
    </row>
    <row r="25" spans="1:5" ht="12.75" customHeight="1" x14ac:dyDescent="0.4">
      <c r="A25" s="28" t="s">
        <v>38</v>
      </c>
      <c r="B25" s="28"/>
      <c r="C25" s="28"/>
      <c r="D25" s="29">
        <f>D24-D22</f>
        <v>0</v>
      </c>
    </row>
    <row r="26" spans="1:5" ht="42" customHeight="1" x14ac:dyDescent="0.35">
      <c r="A26" s="30" t="s">
        <v>39</v>
      </c>
      <c r="B26" s="30"/>
      <c r="C26" s="30"/>
      <c r="D26" s="30"/>
      <c r="E26" s="30"/>
    </row>
  </sheetData>
  <mergeCells count="2">
    <mergeCell ref="A3:E3"/>
    <mergeCell ref="A26:E26"/>
  </mergeCells>
  <conditionalFormatting sqref="D25">
    <cfRule type="cellIs" dxfId="1" priority="2" operator="notEqual">
      <formula>0</formula>
    </cfRule>
  </conditionalFormatting>
  <pageMargins left="0.7" right="0.7" top="0.75" bottom="0.75" header="0.511811023622047" footer="0.3"/>
  <pageSetup paperSize="9" orientation="portrait" horizontalDpi="300" verticalDpi="300"/>
  <headerFooter>
    <oddFooter>&amp;CLibretto attività · Pietro Crea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Bulla, Manuel</dc:creator>
  <dc:description/>
  <cp:lastModifiedBy>Bulla, Manuel</cp:lastModifiedBy>
  <cp:revision>0</cp:revision>
  <dcterms:created xsi:type="dcterms:W3CDTF">2026-10-14T11:30:17Z</dcterms:created>
  <dcterms:modified xsi:type="dcterms:W3CDTF">2026-10-15T09:59:08Z</dcterms:modified>
  <dc:language>en-US</dc:language>
</cp:coreProperties>
</file>