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pietrocrea/Desktop/UNI 2026:2027/Ingegneria del Software/Ing-software-prog-discover-tridentum./docs/libretti/"/>
    </mc:Choice>
  </mc:AlternateContent>
  <xr:revisionPtr revIDLastSave="0" documentId="13_ncr:1_{26A60FA1-D530-364D-8F50-08B03688A806}" xr6:coauthVersionLast="47" xr6:coauthVersionMax="47" xr10:uidLastSave="{00000000-0000-0000-0000-000000000000}"/>
  <bookViews>
    <workbookView xWindow="0" yWindow="660" windowWidth="29400" windowHeight="16660" tabRatio="500" xr2:uid="{00000000-000D-0000-FFFF-FFFF00000000}"/>
  </bookViews>
  <sheets>
    <sheet name="Libretto" sheetId="1" r:id="rId1"/>
    <sheet name="Riepilogo" sheetId="2" r:id="rId2"/>
  </sheets>
  <definedNames>
    <definedName name="_xlnm.Print_Titles" localSheetId="0">Libretto!$8:$8</definedName>
  </definedNames>
  <calcPr calcId="18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D24" i="2" l="1"/>
  <c r="A7" i="2"/>
  <c r="A8" i="2" s="1"/>
  <c r="B6" i="2"/>
  <c r="D6" i="2" s="1"/>
  <c r="C6" i="1"/>
  <c r="C5" i="1"/>
  <c r="E6" i="2" l="1"/>
  <c r="D8" i="2"/>
  <c r="C8" i="2"/>
  <c r="B8" i="2"/>
  <c r="A9" i="2"/>
  <c r="B7" i="2"/>
  <c r="C7" i="2"/>
  <c r="D7" i="2"/>
  <c r="C6" i="2"/>
  <c r="E7" i="2" l="1"/>
  <c r="E8" i="2"/>
  <c r="B9" i="2"/>
  <c r="D9" i="2" s="1"/>
  <c r="A10" i="2"/>
  <c r="E9" i="2" l="1"/>
  <c r="C9" i="2"/>
  <c r="B10" i="2"/>
  <c r="C10" i="2" s="1"/>
  <c r="A11" i="2"/>
  <c r="D10" i="2" l="1"/>
  <c r="A12" i="2"/>
  <c r="B11" i="2"/>
  <c r="D11" i="2" s="1"/>
  <c r="C11" i="2" l="1"/>
  <c r="B12" i="2"/>
  <c r="D12" i="2" s="1"/>
  <c r="A13" i="2"/>
  <c r="E10" i="2"/>
  <c r="E11" i="2"/>
  <c r="E12" i="2" l="1"/>
  <c r="B13" i="2"/>
  <c r="D13" i="2" s="1"/>
  <c r="E13" i="2" s="1"/>
  <c r="A14" i="2"/>
  <c r="C12" i="2"/>
  <c r="B14" i="2" l="1"/>
  <c r="D14" i="2" s="1"/>
  <c r="E14" i="2" s="1"/>
  <c r="A15" i="2"/>
  <c r="C13" i="2"/>
  <c r="B15" i="2" l="1"/>
  <c r="D15" i="2" s="1"/>
  <c r="E15" i="2" s="1"/>
  <c r="A16" i="2"/>
  <c r="C15" i="2"/>
  <c r="C14" i="2"/>
  <c r="B16" i="2" l="1"/>
  <c r="D16" i="2" s="1"/>
  <c r="E16" i="2" s="1"/>
  <c r="A17" i="2"/>
  <c r="B17" i="2" l="1"/>
  <c r="C17" i="2"/>
  <c r="A18" i="2"/>
  <c r="D17" i="2"/>
  <c r="E17" i="2" s="1"/>
  <c r="C16" i="2"/>
  <c r="B18" i="2" l="1"/>
  <c r="D18" i="2" s="1"/>
  <c r="E18" i="2" s="1"/>
  <c r="A19" i="2"/>
  <c r="A20" i="2" l="1"/>
  <c r="B19" i="2"/>
  <c r="C19" i="2" s="1"/>
  <c r="C18" i="2"/>
  <c r="B20" i="2" l="1"/>
  <c r="D20" i="2" s="1"/>
  <c r="A21" i="2"/>
  <c r="D19" i="2"/>
  <c r="E19" i="2" s="1"/>
  <c r="E20" i="2" l="1"/>
  <c r="B21" i="2"/>
  <c r="D21" i="2"/>
  <c r="C21" i="2"/>
  <c r="C22" i="2" s="1"/>
  <c r="C20" i="2"/>
  <c r="D22" i="2" l="1"/>
  <c r="D25" i="2" s="1"/>
  <c r="E21" i="2"/>
</calcChain>
</file>

<file path=xl/sharedStrings.xml><?xml version="1.0" encoding="utf-8"?>
<sst xmlns="http://schemas.openxmlformats.org/spreadsheetml/2006/main" count="45" uniqueCount="43">
  <si>
    <t>Libretto delle attività</t>
  </si>
  <si>
    <t>Pietro Crea</t>
  </si>
  <si>
    <t>Progetto: Discover Tridentum — Trento Nascosta  ·  Corso: Ingegneria del Software · Prof. Paolo Giorgini · A.A. 2026-2027</t>
  </si>
  <si>
    <t>Team: Manuel Bulla · Marco Buffa · Pietro Crea  ·  Repository: github.com/bulla06/Ing-software-prog-test-v1</t>
  </si>
  <si>
    <t>Ore totali</t>
  </si>
  <si>
    <t>Voci senza ore</t>
  </si>
  <si>
    <t>Come si compila: scrivi una riga per ogni attività subito sotto l'ultima della tabella, i totali e il riepilogo si aggiornano da soli. Le ore vanno in decimali (1,5 = un'ora e mezza). Le celle gialle nella colonna Ore sono quelle ancora da inserire.</t>
  </si>
  <si>
    <t>Data</t>
  </si>
  <si>
    <t>Attività</t>
  </si>
  <si>
    <t>Ore</t>
  </si>
  <si>
    <t>Descrizione</t>
  </si>
  <si>
    <t>Risultato / file</t>
  </si>
  <si>
    <t>Fase 1 — Analisi del dominio</t>
  </si>
  <si>
    <t>Con Manuel e Marco: analisi del dominio, 2 personas, Stakeholder Matrix e matrice di tracciabilità.</t>
  </si>
  <si>
    <t>docs/fase-1-analisi-dominio.md</t>
  </si>
  <si>
    <t>Fase 2 — Specifiche dei requisiti</t>
  </si>
  <si>
    <t>Con Manuel e Marco: SRS Light con requisiti funzionali (MoSCoW), requisiti non funzionali e casi d'uso.</t>
  </si>
  <si>
    <t>docs/fase-2-specifiche-requisiti.md</t>
  </si>
  <si>
    <t>Fase 3 — Architettura e user flow</t>
  </si>
  <si>
    <t>Con Manuel e Marco: casi d'uso in Mermaid, flusso delle schermate, architettura ad alto livello e diagrammi di sequenza.</t>
  </si>
  <si>
    <t>docs/fase-3-architettura-user-flow.md</t>
  </si>
  <si>
    <t>Nuova icona del sito (pin con montagne e Adige)</t>
  </si>
  <si>
    <t>Scelta tra sei proposte e personalizzazione del pin con stella: montagne, onda dell'Adige, colori petrolio e oro. Icona e PNG per telefono e PWA rigenerati. Fatto con l'aiuto di Claude (AI).</t>
  </si>
  <si>
    <t>versione-corrente/frontend/public/icon.svg, icon-192.png, icon-512.png, icon-maskable-512.png, apple-touch-icon.png</t>
  </si>
  <si>
    <t>Restyling dei colori del sito (petrolio e oro)</t>
  </si>
  <si>
    <t>Nuova palette dai colori del logo, in tema chiaro e scuro: navigazione petrolio con voce attiva in oro, titoli con tratto d'oro, velo di colore in cima alle pagine, benvenuto su fondo petrolio. Verificato nel browser. Fatto con l'aiuto di Claude (AI).</t>
  </si>
  <si>
    <t>versione-corrente/frontend/src/stile.css, index.html, public/manifest.webmanifest</t>
  </si>
  <si>
    <t>Benvenuto: foto di Trento al posto della mappa</t>
  </si>
  <si>
    <t>Tolta la mappa dalla schermata di benvenuto e messa una presentazione di 15 foto, una alla volta a tutto riquadro, che cambiano da sole ogni 5 secondi con dissolvenza e un pulsante di pausa. Alternate 8 foto storiche (le stesse di "Dov'era?") e 7 attuali di affreschi e facciate scaricate da Wikimedia Commons con licenza libera; autore e licenza in piccolo su ogni foto. Testi in italiano, inglese e tedesco; parte ferma con "riduci movimento". Sistemati anche il testo scuro sul fondo petrolio nel tema chiaro e la larghezza sul telefono. Fatto con l'aiuto di Claude (AI).</t>
  </si>
  <si>
    <t>versione-corrente/frontend/src/components/GalleriaBenvenuto.jsx, src/data/fotoBenvenuto.js, public/benvenuto/, src/pages/Benvenuto.jsx, src/stile.css</t>
  </si>
  <si>
    <t>Pulsante satellite in alto a destra, solo icona</t>
  </si>
  <si>
    <t>Il pulsante con la scritta "Satellite" è ora un'icona quadrata in alto a destra della mappa: mostra il globo per passare al satellite e la mappa per tornare indietro, con colori petrolio e oro quando il satellite è attivo. Su telefono sta sotto ricerca e filtri e gli avvisi gli lasciano posto. Aggiunta l'icona al generatore e tolti i testi non più usati. Fatto con l'aiuto di Claude (AI).</t>
  </si>
  <si>
    <t>versione-corrente/frontend/src/components/MappaLeaflet.jsx, src/stile.css, src/components/icone-svg.js</t>
  </si>
  <si>
    <t>Riepilogo delle ore</t>
  </si>
  <si>
    <t>Ore e voci per settimana (da lunedì a domenica), calcolate dal foglio Libretto: qui non c'è niente da compilare. La prima settimana parte da lunedì 28/09/2026, quella in cui è nato il repository (cella in blu: si può cambiare).</t>
  </si>
  <si>
    <t>Settimana dal</t>
  </si>
  <si>
    <t>al</t>
  </si>
  <si>
    <t>Voci</t>
  </si>
  <si>
    <t>Ore cumulate</t>
  </si>
  <si>
    <t>Totale</t>
  </si>
  <si>
    <t>Ore nel Libretto</t>
  </si>
  <si>
    <t>Fuori dalle settimane elencate</t>
  </si>
  <si>
    <t>Se 'Fuori dalle settimane elencate' non è zero, ci sono voci con una data oltre l'ultima settimana: inserisci una riga sopra l'ultima settimana e copia le formule dalla riga precedente.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</si>
</sst>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m/d/yyyy"/>
    <numFmt numFmtId="166" formatCode="0;\-0;\-"/>
    <numFmt numFmtId="167" formatCode="0.0;\-0.0;\-"/>
  </numFmts>
  <fonts count="9" x14ac:knownFonts="1">
    <font>
      <sz val="11"/>
      <color theme="1"/>
      <name val="Aptos Narrow"/>
      <family val="2"/>
      <charset val="1"/>
    </font>
    <font>
      <sz val="10"/>
      <color theme="1"/>
      <name val="Arial"/>
      <family val="2"/>
      <charset val="1"/>
    </font>
    <font>
      <b/>
      <sz val="18"/>
      <color rgb="FF1B2428"/>
      <name val="Arial"/>
      <family val="2"/>
      <charset val="1"/>
    </font>
    <font>
      <b/>
      <sz val="13"/>
      <color theme="1"/>
      <name val="Arial"/>
      <family val="2"/>
      <charset val="1"/>
    </font>
    <font>
      <sz val="10"/>
      <color rgb="FF6B6B6B"/>
      <name val="Arial"/>
      <family val="2"/>
      <charset val="1"/>
    </font>
    <font>
      <b/>
      <sz val="10"/>
      <color theme="1"/>
      <name val="Arial"/>
      <family val="2"/>
      <charset val="1"/>
    </font>
    <font>
      <i/>
      <sz val="10"/>
      <color rgb="FF6B6B6B"/>
      <name val="Arial"/>
      <family val="2"/>
      <charset val="1"/>
    </font>
    <font>
      <b/>
      <sz val="10"/>
      <color rgb="FFFFFFFF"/>
      <name val="Arial"/>
      <family val="2"/>
      <charset val="1"/>
    </font>
    <font>
      <sz val="10"/>
      <color rgb="FF0000FF"/>
      <name val="Arial"/>
      <family val="2"/>
      <charset val="1"/>
    </font>
  </fonts>
  <fills count="4">
    <fill>
      <patternFill patternType="none"/>
    </fill>
    <fill>
      <patternFill patternType="gray125"/>
    </fill>
    <fill>
      <patternFill patternType="solid">
        <fgColor rgb="FF1B2428"/>
        <bgColor rgb="FF333300"/>
      </patternFill>
    </fill>
    <fill>
      <patternFill patternType="solid">
        <fgColor rgb="FFFBF8F3"/>
        <bgColor rgb="FFFFFFFF"/>
      </patternFill>
    </fill>
  </fills>
  <borders count="4">
    <border>
      <left/>
      <right/>
      <top/>
      <bottom/>
      <diagonal/>
    </border>
    <border>
      <left style="thin">
        <color rgb="FFD9CFC0"/>
      </left>
      <right style="thin">
        <color rgb="FFD9CFC0"/>
      </right>
      <top style="thin">
        <color rgb="FFD9CFC0"/>
      </top>
      <bottom style="thin">
        <color rgb="FFD9CFC0"/>
      </bottom>
      <diagonal/>
    </border>
    <border>
      <left style="thin">
        <color rgb="FFD9CFC0"/>
      </left>
      <right style="thin">
        <color rgb="FFD9CFC0"/>
      </right>
      <top style="thin">
        <color rgb="FFD9CFC0"/>
      </top>
      <bottom/>
      <diagonal/>
    </border>
    <border>
      <left style="thin">
        <color rgb="FFD9CFC0"/>
      </left>
      <right style="thin">
        <color rgb="FFD9CFC0"/>
      </right>
      <top style="thin">
        <color rgb="FF1B2428"/>
      </top>
      <bottom style="thin">
        <color rgb="FFD9CFC0"/>
      </bottom>
      <diagonal/>
    </border>
  </borders>
  <cellStyleXfs count="1">
    <xf numFmtId="0" fontId="0" fillId="0" borderId="0"/>
  </cellStyleXfs>
  <cellXfs count="3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applyAlignment="1">
      <alignment horizontal="right"/>
    </xf>
    <xf numFmtId="164" fontId="5" fillId="0" borderId="0" xfId="0" applyNumberFormat="1" applyFont="1" applyAlignment="1">
      <alignment horizontal="center"/>
    </xf>
    <xf numFmtId="1" fontId="5" fillId="0" borderId="0" xfId="0" applyNumberFormat="1" applyFont="1" applyAlignment="1">
      <alignment horizontal="center"/>
    </xf>
    <xf numFmtId="0" fontId="7" fillId="2" borderId="0" xfId="0" applyFont="1" applyFill="1" applyAlignment="1">
      <alignment horizontal="left" vertical="center"/>
    </xf>
    <xf numFmtId="0" fontId="7" fillId="2" borderId="0" xfId="0" applyFont="1" applyFill="1" applyAlignment="1">
      <alignment horizontal="center" vertical="center"/>
    </xf>
    <xf numFmtId="0" fontId="5" fillId="0" borderId="0" xfId="0" applyFont="1" applyAlignment="1">
      <alignment vertical="top" wrapText="1"/>
    </xf>
    <xf numFmtId="164" fontId="8" fillId="0" borderId="0" xfId="0" applyNumberFormat="1" applyFont="1" applyAlignment="1">
      <alignment horizontal="center" vertical="top"/>
    </xf>
    <xf numFmtId="0" fontId="1" fillId="0" borderId="0" xfId="0" applyFont="1" applyAlignment="1">
      <alignment vertical="top" wrapText="1"/>
    </xf>
    <xf numFmtId="0" fontId="7" fillId="2" borderId="1" xfId="0" applyFont="1" applyFill="1" applyBorder="1" applyAlignment="1">
      <alignment horizontal="center" vertical="center"/>
    </xf>
    <xf numFmtId="165" fontId="8" fillId="0" borderId="1" xfId="0" applyNumberFormat="1" applyFont="1" applyBorder="1" applyAlignment="1">
      <alignment horizontal="center"/>
    </xf>
    <xf numFmtId="165" fontId="1" fillId="0" borderId="1" xfId="0" applyNumberFormat="1" applyFont="1" applyBorder="1" applyAlignment="1">
      <alignment horizontal="center"/>
    </xf>
    <xf numFmtId="166" fontId="1" fillId="0" borderId="1" xfId="0" applyNumberFormat="1" applyFont="1" applyBorder="1" applyAlignment="1">
      <alignment horizontal="center"/>
    </xf>
    <xf numFmtId="167" fontId="1" fillId="0" borderId="1" xfId="0" applyNumberFormat="1" applyFont="1" applyBorder="1" applyAlignment="1">
      <alignment horizontal="center"/>
    </xf>
    <xf numFmtId="165" fontId="1" fillId="3" borderId="1" xfId="0" applyNumberFormat="1" applyFont="1" applyFill="1" applyBorder="1" applyAlignment="1">
      <alignment horizontal="center"/>
    </xf>
    <xf numFmtId="166" fontId="1" fillId="3" borderId="1" xfId="0" applyNumberFormat="1" applyFont="1" applyFill="1" applyBorder="1" applyAlignment="1">
      <alignment horizontal="center"/>
    </xf>
    <xf numFmtId="167" fontId="1" fillId="3" borderId="1" xfId="0" applyNumberFormat="1" applyFont="1" applyFill="1" applyBorder="1" applyAlignment="1">
      <alignment horizontal="center"/>
    </xf>
    <xf numFmtId="165" fontId="1" fillId="3" borderId="2" xfId="0" applyNumberFormat="1" applyFont="1" applyFill="1" applyBorder="1" applyAlignment="1">
      <alignment horizontal="center"/>
    </xf>
    <xf numFmtId="166" fontId="1" fillId="3" borderId="2" xfId="0" applyNumberFormat="1" applyFont="1" applyFill="1" applyBorder="1" applyAlignment="1">
      <alignment horizontal="center"/>
    </xf>
    <xf numFmtId="167" fontId="1" fillId="3" borderId="2" xfId="0" applyNumberFormat="1" applyFont="1" applyFill="1" applyBorder="1" applyAlignment="1">
      <alignment horizontal="center"/>
    </xf>
    <xf numFmtId="0" fontId="5" fillId="0" borderId="3" xfId="0" applyFont="1" applyBorder="1" applyAlignment="1">
      <alignment horizontal="left"/>
    </xf>
    <xf numFmtId="0" fontId="5" fillId="0" borderId="3" xfId="0" applyFont="1" applyBorder="1" applyAlignment="1">
      <alignment horizontal="center"/>
    </xf>
    <xf numFmtId="166" fontId="5" fillId="0" borderId="3" xfId="0" applyNumberFormat="1" applyFont="1" applyBorder="1" applyAlignment="1">
      <alignment horizontal="center"/>
    </xf>
    <xf numFmtId="167" fontId="5" fillId="0" borderId="3" xfId="0" applyNumberFormat="1" applyFont="1" applyBorder="1" applyAlignment="1">
      <alignment horizontal="center"/>
    </xf>
    <xf numFmtId="0" fontId="5" fillId="0" borderId="0" xfId="0" applyFont="1"/>
    <xf numFmtId="167" fontId="5" fillId="0" borderId="0" xfId="0" applyNumberFormat="1" applyFont="1" applyAlignment="1">
      <alignment horizontal="center"/>
    </xf>
    <xf numFmtId="14" fontId="1" fillId="0" borderId="0" xfId="0" applyNumberFormat="1" applyFont="1" applyAlignment="1">
      <alignment horizontal="left" vertical="top"/>
    </xf>
    <xf numFmtId="0" fontId="6" fillId="0" borderId="0" xfId="0" applyFont="1" applyAlignment="1">
      <alignment vertical="top" wrapText="1"/>
    </xf>
    <xf numFmtId="0" fontId="1" fillId="0" borderId="0" xfId="0" applyFont="1"/>
  </cellXfs>
  <cellStyles count="1">
    <cellStyle name="Normale" xfId="0" builtinId="0"/>
  </cellStyles>
  <dxfs count="3">
    <dxf>
      <font>
        <b/>
        <color rgb="FFC00000"/>
      </font>
    </dxf>
    <dxf>
      <fill>
        <patternFill>
          <bgColor rgb="FFFFF2CC"/>
        </patternFill>
      </fill>
    </dxf>
    <dxf>
      <numFmt numFmtId="168" formatCode="dd/mm/yyyy"/>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9CFC0"/>
      <rgbColor rgb="FF808080"/>
      <rgbColor rgb="FF9999FF"/>
      <rgbColor rgb="FF993366"/>
      <rgbColor rgb="FFFFF2CC"/>
      <rgbColor rgb="FFFBF8F3"/>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6B6B"/>
      <rgbColor rgb="FF969696"/>
      <rgbColor rgb="FF003366"/>
      <rgbColor rgb="FF339966"/>
      <rgbColor rgb="FF003300"/>
      <rgbColor rgb="FF333300"/>
      <rgbColor rgb="FF993300"/>
      <rgbColor rgb="FF993366"/>
      <rgbColor rgb="FF333399"/>
      <rgbColor rgb="FF1B2428"/>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gistro" displayName="Registro" ref="A8:E15" totalsRowShown="0">
  <autoFilter ref="A8:E15" xr:uid="{00000000-0009-0000-0100-000001000000}">
    <filterColumn colId="0" hiddenButton="1"/>
    <filterColumn colId="1" hiddenButton="1"/>
    <filterColumn colId="2" hiddenButton="1"/>
    <filterColumn colId="3" hiddenButton="1"/>
    <filterColumn colId="4" hiddenButton="1"/>
  </autoFilter>
  <tableColumns count="5">
    <tableColumn id="1" xr3:uid="{00000000-0010-0000-0000-000001000000}" name="Data" dataDxfId="2"/>
    <tableColumn id="2" xr3:uid="{00000000-0010-0000-0000-000002000000}" name="Attività"/>
    <tableColumn id="3" xr3:uid="{00000000-0010-0000-0000-000003000000}" name="Ore"/>
    <tableColumn id="4" xr3:uid="{00000000-0010-0000-0000-000004000000}" name="Descrizione"/>
    <tableColumn id="5" xr3:uid="{00000000-0010-0000-0000-000005000000}" name="Risultato / file"/>
  </tableColumns>
  <tableStyleInfo showFirstColumn="0" showLastColumn="0" showRowStripes="1" showColumnStripes="0"/>
</table>
</file>

<file path=xl/theme/theme1.xml><?xml version="1.0" encoding="utf-8"?>
<a:theme xmlns:a="http://schemas.openxmlformats.org/drawingml/2006/main" name="Tema di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E15"/>
  <sheetViews>
    <sheetView showGridLines="0" tabSelected="1" zoomScaleNormal="100" workbookViewId="0">
      <pane ySplit="8" topLeftCell="A9" activePane="bottomLeft" state="frozen"/>
      <selection pane="bottomLeft" activeCell="D14" sqref="D14"/>
    </sheetView>
  </sheetViews>
  <sheetFormatPr baseColWidth="10" defaultColWidth="9" defaultRowHeight="13" x14ac:dyDescent="0.15"/>
  <cols>
    <col min="1" max="1" width="12.6640625" style="1" customWidth="1"/>
    <col min="2" max="2" width="30.6640625" style="1" customWidth="1"/>
    <col min="3" max="3" width="8.6640625" style="1" customWidth="1"/>
    <col min="4" max="4" width="72.6640625" style="1" customWidth="1"/>
    <col min="5" max="5" width="40.6640625" style="1" customWidth="1"/>
    <col min="6" max="7" width="9" style="1" customWidth="1"/>
    <col min="8" max="16384" width="9" style="1"/>
  </cols>
  <sheetData>
    <row r="1" spans="1:5" ht="25.5" customHeight="1" x14ac:dyDescent="0.25">
      <c r="A1" s="2" t="s">
        <v>0</v>
      </c>
    </row>
    <row r="2" spans="1:5" ht="16.5" customHeight="1" x14ac:dyDescent="0.2">
      <c r="A2" s="3" t="s">
        <v>1</v>
      </c>
    </row>
    <row r="3" spans="1:5" ht="12.75" customHeight="1" x14ac:dyDescent="0.15">
      <c r="A3" s="4" t="s">
        <v>2</v>
      </c>
    </row>
    <row r="4" spans="1:5" ht="12.75" customHeight="1" x14ac:dyDescent="0.15">
      <c r="A4" s="4" t="s">
        <v>3</v>
      </c>
    </row>
    <row r="5" spans="1:5" ht="12.75" customHeight="1" x14ac:dyDescent="0.15">
      <c r="B5" s="5" t="s">
        <v>4</v>
      </c>
      <c r="C5" s="6">
        <f>SUM(Registro[Ore])</f>
        <v>10.5</v>
      </c>
    </row>
    <row r="6" spans="1:5" ht="12.75" customHeight="1" x14ac:dyDescent="0.15">
      <c r="B6" s="5" t="s">
        <v>5</v>
      </c>
      <c r="C6" s="7">
        <f>COUNTIFS(Registro[Attività],"&lt;&gt;",Registro[Ore],"")</f>
        <v>0</v>
      </c>
    </row>
    <row r="7" spans="1:5" ht="30" customHeight="1" x14ac:dyDescent="0.15">
      <c r="A7" s="31" t="s">
        <v>6</v>
      </c>
      <c r="B7" s="32"/>
      <c r="C7" s="32"/>
      <c r="D7" s="32"/>
      <c r="E7" s="32"/>
    </row>
    <row r="8" spans="1:5" ht="21.75" customHeight="1" x14ac:dyDescent="0.15">
      <c r="A8" s="8" t="s">
        <v>7</v>
      </c>
      <c r="B8" s="8" t="s">
        <v>8</v>
      </c>
      <c r="C8" s="9" t="s">
        <v>9</v>
      </c>
      <c r="D8" s="8" t="s">
        <v>10</v>
      </c>
      <c r="E8" s="8" t="s">
        <v>11</v>
      </c>
    </row>
    <row r="9" spans="1:5" ht="25.5" customHeight="1" x14ac:dyDescent="0.15">
      <c r="A9" s="30">
        <v>46295</v>
      </c>
      <c r="B9" s="10" t="s">
        <v>12</v>
      </c>
      <c r="C9" s="11">
        <v>1</v>
      </c>
      <c r="D9" s="12" t="s">
        <v>13</v>
      </c>
      <c r="E9" s="12" t="s">
        <v>14</v>
      </c>
    </row>
    <row r="10" spans="1:5" ht="25.5" customHeight="1" x14ac:dyDescent="0.15">
      <c r="A10" s="30">
        <v>46295</v>
      </c>
      <c r="B10" s="10" t="s">
        <v>15</v>
      </c>
      <c r="C10" s="11">
        <v>2.5</v>
      </c>
      <c r="D10" s="12" t="s">
        <v>16</v>
      </c>
      <c r="E10" s="12" t="s">
        <v>17</v>
      </c>
    </row>
    <row r="11" spans="1:5" ht="25.5" customHeight="1" x14ac:dyDescent="0.15">
      <c r="A11" s="30">
        <v>46295</v>
      </c>
      <c r="B11" s="10" t="s">
        <v>18</v>
      </c>
      <c r="C11" s="11">
        <v>2.5</v>
      </c>
      <c r="D11" s="12" t="s">
        <v>19</v>
      </c>
      <c r="E11" s="12" t="s">
        <v>20</v>
      </c>
    </row>
    <row r="12" spans="1:5" ht="38.25" customHeight="1" x14ac:dyDescent="0.15">
      <c r="A12" s="30">
        <v>46310</v>
      </c>
      <c r="B12" s="10" t="s">
        <v>21</v>
      </c>
      <c r="C12" s="11">
        <v>1</v>
      </c>
      <c r="D12" s="12" t="s">
        <v>22</v>
      </c>
      <c r="E12" s="12" t="s">
        <v>23</v>
      </c>
    </row>
    <row r="13" spans="1:5" ht="38.25" customHeight="1" x14ac:dyDescent="0.15">
      <c r="A13" s="30">
        <v>46310</v>
      </c>
      <c r="B13" s="10" t="s">
        <v>24</v>
      </c>
      <c r="C13" s="11">
        <v>2</v>
      </c>
      <c r="D13" s="12" t="s">
        <v>25</v>
      </c>
      <c r="E13" s="12" t="s">
        <v>26</v>
      </c>
    </row>
    <row r="14" spans="1:5" ht="38.25" customHeight="1" x14ac:dyDescent="0.15">
      <c r="A14" s="30">
        <v>46310</v>
      </c>
      <c r="B14" s="10" t="s">
        <v>27</v>
      </c>
      <c r="C14" s="11">
        <v>1</v>
      </c>
      <c r="D14" s="12" t="s">
        <v>28</v>
      </c>
      <c r="E14" s="12" t="s">
        <v>29</v>
      </c>
    </row>
    <row r="15" spans="1:5" ht="38.25" customHeight="1" x14ac:dyDescent="0.15">
      <c r="A15" s="30">
        <v>46310</v>
      </c>
      <c r="B15" s="10" t="s">
        <v>30</v>
      </c>
      <c r="C15" s="11">
        <v>0.5</v>
      </c>
      <c r="D15" s="12" t="s">
        <v>31</v>
      </c>
      <c r="E15" s="12" t="s">
        <v>32</v>
      </c>
    </row>
  </sheetData>
  <mergeCells count="1">
    <mergeCell ref="A7:E7"/>
  </mergeCells>
  <conditionalFormatting sqref="C9:C15">
    <cfRule type="expression" dxfId="1" priority="2">
      <formula>($B9&lt;&gt;"")*($C9="")</formula>
    </cfRule>
  </conditionalFormatting>
  <dataValidations count="2">
    <dataValidation type="date" allowBlank="1" showInputMessage="1" showErrorMessage="1" errorTitle="Data non valida" error="Scrivi la data come gg/mm/aaaa, per esempio 14/10/2026." sqref="A9:A15" xr:uid="{00000000-0002-0000-0000-000000000000}">
      <formula1>46023</formula1>
      <formula2>47483</formula2>
    </dataValidation>
    <dataValidation type="decimal" allowBlank="1" showInputMessage="1" showErrorMessage="1" errorTitle="Ore non valide" error="Scrivi le ore come numero tra 0 e 24 (1,5 = un'ora e mezza)." promptTitle="Ore dedicate" prompt="Numero di ore, anche decimale: 1,5 = un'ora e mezza." sqref="C9:C15" xr:uid="{00000000-0002-0000-0000-000001000000}">
      <formula1>0</formula1>
      <formula2>24</formula2>
    </dataValidation>
  </dataValidations>
  <pageMargins left="0.59027777777777801" right="0.59027777777777801" top="0.75" bottom="0.75" header="0.511811023622047" footer="0.3"/>
  <pageSetup paperSize="9" fitToHeight="0" orientation="landscape" horizontalDpi="300" verticalDpi="300"/>
  <headerFooter>
    <oddFooter>&amp;CLibretto attività · Pietro Crea · pag. &amp;P</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E26"/>
  <sheetViews>
    <sheetView showGridLines="0" zoomScaleNormal="100" workbookViewId="0"/>
  </sheetViews>
  <sheetFormatPr baseColWidth="10" defaultColWidth="9" defaultRowHeight="13" x14ac:dyDescent="0.15"/>
  <cols>
    <col min="1" max="1" width="16.6640625" style="1" customWidth="1"/>
    <col min="2" max="2" width="14.6640625" style="1" customWidth="1"/>
    <col min="3" max="3" width="10.6640625" style="1" customWidth="1"/>
    <col min="4" max="4" width="12.6640625" style="1" customWidth="1"/>
    <col min="5" max="5" width="16.6640625" style="1" customWidth="1"/>
    <col min="6" max="7" width="9" style="1" customWidth="1"/>
    <col min="8" max="16384" width="9" style="1"/>
  </cols>
  <sheetData>
    <row r="1" spans="1:5" ht="25.5" customHeight="1" x14ac:dyDescent="0.25">
      <c r="A1" s="2" t="s">
        <v>33</v>
      </c>
    </row>
    <row r="2" spans="1:5" ht="16.5" customHeight="1" x14ac:dyDescent="0.2">
      <c r="A2" s="3" t="s">
        <v>1</v>
      </c>
    </row>
    <row r="3" spans="1:5" ht="42" customHeight="1" x14ac:dyDescent="0.15">
      <c r="A3" s="31" t="s">
        <v>34</v>
      </c>
      <c r="B3" s="32"/>
      <c r="C3" s="32"/>
      <c r="D3" s="32"/>
      <c r="E3" s="32"/>
    </row>
    <row r="5" spans="1:5" ht="21.75" customHeight="1" x14ac:dyDescent="0.15">
      <c r="A5" s="13" t="s">
        <v>35</v>
      </c>
      <c r="B5" s="13" t="s">
        <v>36</v>
      </c>
      <c r="C5" s="13" t="s">
        <v>37</v>
      </c>
      <c r="D5" s="13" t="s">
        <v>9</v>
      </c>
      <c r="E5" s="13" t="s">
        <v>38</v>
      </c>
    </row>
    <row r="6" spans="1:5" ht="12.75" customHeight="1" x14ac:dyDescent="0.15">
      <c r="A6" s="14">
        <v>46293</v>
      </c>
      <c r="B6" s="15">
        <f t="shared" ref="B6:B21" si="0">A6+6</f>
        <v>46299</v>
      </c>
      <c r="C6" s="16">
        <f>COUNTIFS(Registro[Data],"&gt;="&amp;A6,Registro[Data],"&lt;="&amp;B6)</f>
        <v>3</v>
      </c>
      <c r="D6" s="17">
        <f>SUMIFS(Registro[Ore],Registro[Data],"&gt;="&amp;A6,Registro[Data],"&lt;="&amp;B6)</f>
        <v>6</v>
      </c>
      <c r="E6" s="17">
        <f>SUM(D$6:D6)</f>
        <v>6</v>
      </c>
    </row>
    <row r="7" spans="1:5" ht="12.75" customHeight="1" x14ac:dyDescent="0.15">
      <c r="A7" s="18">
        <f t="shared" ref="A7:A21" si="1">A6+7</f>
        <v>46300</v>
      </c>
      <c r="B7" s="18">
        <f t="shared" si="0"/>
        <v>46306</v>
      </c>
      <c r="C7" s="19">
        <f>COUNTIFS(Registro[Data],"&gt;="&amp;A7,Registro[Data],"&lt;="&amp;B7)</f>
        <v>0</v>
      </c>
      <c r="D7" s="20">
        <f>SUMIFS(Registro[Ore],Registro[Data],"&gt;="&amp;A7,Registro[Data],"&lt;="&amp;B7)</f>
        <v>0</v>
      </c>
      <c r="E7" s="20">
        <f>SUM(D$6:D7)</f>
        <v>6</v>
      </c>
    </row>
    <row r="8" spans="1:5" ht="12.75" customHeight="1" x14ac:dyDescent="0.15">
      <c r="A8" s="15">
        <f t="shared" si="1"/>
        <v>46307</v>
      </c>
      <c r="B8" s="15">
        <f t="shared" si="0"/>
        <v>46313</v>
      </c>
      <c r="C8" s="16">
        <f>COUNTIFS(Registro[Data],"&gt;="&amp;A8,Registro[Data],"&lt;="&amp;B8)</f>
        <v>4</v>
      </c>
      <c r="D8" s="17">
        <f>SUMIFS(Registro[Ore],Registro[Data],"&gt;="&amp;A8,Registro[Data],"&lt;="&amp;B8)</f>
        <v>4.5</v>
      </c>
      <c r="E8" s="17">
        <f>SUM(D$6:D8)</f>
        <v>10.5</v>
      </c>
    </row>
    <row r="9" spans="1:5" ht="12.75" customHeight="1" x14ac:dyDescent="0.15">
      <c r="A9" s="18">
        <f t="shared" si="1"/>
        <v>46314</v>
      </c>
      <c r="B9" s="18">
        <f t="shared" si="0"/>
        <v>46320</v>
      </c>
      <c r="C9" s="19">
        <f>COUNTIFS(Registro[Data],"&gt;="&amp;A9,Registro[Data],"&lt;="&amp;B9)</f>
        <v>0</v>
      </c>
      <c r="D9" s="20">
        <f>SUMIFS(Registro[Ore],Registro[Data],"&gt;="&amp;A9,Registro[Data],"&lt;="&amp;B9)</f>
        <v>0</v>
      </c>
      <c r="E9" s="20">
        <f>SUM(D$6:D9)</f>
        <v>10.5</v>
      </c>
    </row>
    <row r="10" spans="1:5" ht="12.75" customHeight="1" x14ac:dyDescent="0.15">
      <c r="A10" s="15">
        <f t="shared" si="1"/>
        <v>46321</v>
      </c>
      <c r="B10" s="15">
        <f t="shared" si="0"/>
        <v>46327</v>
      </c>
      <c r="C10" s="16">
        <f>COUNTIFS(Registro[Data],"&gt;="&amp;A10,Registro[Data],"&lt;="&amp;B10)</f>
        <v>0</v>
      </c>
      <c r="D10" s="17">
        <f>SUMIFS(Registro[Ore],Registro[Data],"&gt;="&amp;A10,Registro[Data],"&lt;="&amp;B10)</f>
        <v>0</v>
      </c>
      <c r="E10" s="17">
        <f>SUM(D$6:D10)</f>
        <v>10.5</v>
      </c>
    </row>
    <row r="11" spans="1:5" ht="12.75" customHeight="1" x14ac:dyDescent="0.15">
      <c r="A11" s="18">
        <f t="shared" si="1"/>
        <v>46328</v>
      </c>
      <c r="B11" s="18">
        <f t="shared" si="0"/>
        <v>46334</v>
      </c>
      <c r="C11" s="19">
        <f>COUNTIFS(Registro[Data],"&gt;="&amp;A11,Registro[Data],"&lt;="&amp;B11)</f>
        <v>0</v>
      </c>
      <c r="D11" s="20">
        <f>SUMIFS(Registro[Ore],Registro[Data],"&gt;="&amp;A11,Registro[Data],"&lt;="&amp;B11)</f>
        <v>0</v>
      </c>
      <c r="E11" s="20">
        <f>SUM(D$6:D11)</f>
        <v>10.5</v>
      </c>
    </row>
    <row r="12" spans="1:5" ht="12.75" customHeight="1" x14ac:dyDescent="0.15">
      <c r="A12" s="15">
        <f t="shared" si="1"/>
        <v>46335</v>
      </c>
      <c r="B12" s="15">
        <f t="shared" si="0"/>
        <v>46341</v>
      </c>
      <c r="C12" s="16">
        <f>COUNTIFS(Registro[Data],"&gt;="&amp;A12,Registro[Data],"&lt;="&amp;B12)</f>
        <v>0</v>
      </c>
      <c r="D12" s="17">
        <f>SUMIFS(Registro[Ore],Registro[Data],"&gt;="&amp;A12,Registro[Data],"&lt;="&amp;B12)</f>
        <v>0</v>
      </c>
      <c r="E12" s="17">
        <f>SUM(D$6:D12)</f>
        <v>10.5</v>
      </c>
    </row>
    <row r="13" spans="1:5" ht="12.75" customHeight="1" x14ac:dyDescent="0.15">
      <c r="A13" s="18">
        <f t="shared" si="1"/>
        <v>46342</v>
      </c>
      <c r="B13" s="18">
        <f t="shared" si="0"/>
        <v>46348</v>
      </c>
      <c r="C13" s="19">
        <f>COUNTIFS(Registro[Data],"&gt;="&amp;A13,Registro[Data],"&lt;="&amp;B13)</f>
        <v>0</v>
      </c>
      <c r="D13" s="20">
        <f>SUMIFS(Registro[Ore],Registro[Data],"&gt;="&amp;A13,Registro[Data],"&lt;="&amp;B13)</f>
        <v>0</v>
      </c>
      <c r="E13" s="20">
        <f>SUM(D$6:D13)</f>
        <v>10.5</v>
      </c>
    </row>
    <row r="14" spans="1:5" ht="12.75" customHeight="1" x14ac:dyDescent="0.15">
      <c r="A14" s="15">
        <f t="shared" si="1"/>
        <v>46349</v>
      </c>
      <c r="B14" s="15">
        <f t="shared" si="0"/>
        <v>46355</v>
      </c>
      <c r="C14" s="16">
        <f>COUNTIFS(Registro[Data],"&gt;="&amp;A14,Registro[Data],"&lt;="&amp;B14)</f>
        <v>0</v>
      </c>
      <c r="D14" s="17">
        <f>SUMIFS(Registro[Ore],Registro[Data],"&gt;="&amp;A14,Registro[Data],"&lt;="&amp;B14)</f>
        <v>0</v>
      </c>
      <c r="E14" s="17">
        <f>SUM(D$6:D14)</f>
        <v>10.5</v>
      </c>
    </row>
    <row r="15" spans="1:5" ht="12.75" customHeight="1" x14ac:dyDescent="0.15">
      <c r="A15" s="18">
        <f t="shared" si="1"/>
        <v>46356</v>
      </c>
      <c r="B15" s="18">
        <f t="shared" si="0"/>
        <v>46362</v>
      </c>
      <c r="C15" s="19">
        <f>COUNTIFS(Registro[Data],"&gt;="&amp;A15,Registro[Data],"&lt;="&amp;B15)</f>
        <v>0</v>
      </c>
      <c r="D15" s="20">
        <f>SUMIFS(Registro[Ore],Registro[Data],"&gt;="&amp;A15,Registro[Data],"&lt;="&amp;B15)</f>
        <v>0</v>
      </c>
      <c r="E15" s="20">
        <f>SUM(D$6:D15)</f>
        <v>10.5</v>
      </c>
    </row>
    <row r="16" spans="1:5" ht="12.75" customHeight="1" x14ac:dyDescent="0.15">
      <c r="A16" s="15">
        <f t="shared" si="1"/>
        <v>46363</v>
      </c>
      <c r="B16" s="15">
        <f t="shared" si="0"/>
        <v>46369</v>
      </c>
      <c r="C16" s="16">
        <f>COUNTIFS(Registro[Data],"&gt;="&amp;A16,Registro[Data],"&lt;="&amp;B16)</f>
        <v>0</v>
      </c>
      <c r="D16" s="17">
        <f>SUMIFS(Registro[Ore],Registro[Data],"&gt;="&amp;A16,Registro[Data],"&lt;="&amp;B16)</f>
        <v>0</v>
      </c>
      <c r="E16" s="17">
        <f>SUM(D$6:D16)</f>
        <v>10.5</v>
      </c>
    </row>
    <row r="17" spans="1:5" ht="12.75" customHeight="1" x14ac:dyDescent="0.15">
      <c r="A17" s="18">
        <f t="shared" si="1"/>
        <v>46370</v>
      </c>
      <c r="B17" s="18">
        <f t="shared" si="0"/>
        <v>46376</v>
      </c>
      <c r="C17" s="19">
        <f>COUNTIFS(Registro[Data],"&gt;="&amp;A17,Registro[Data],"&lt;="&amp;B17)</f>
        <v>0</v>
      </c>
      <c r="D17" s="20">
        <f>SUMIFS(Registro[Ore],Registro[Data],"&gt;="&amp;A17,Registro[Data],"&lt;="&amp;B17)</f>
        <v>0</v>
      </c>
      <c r="E17" s="20">
        <f>SUM(D$6:D17)</f>
        <v>10.5</v>
      </c>
    </row>
    <row r="18" spans="1:5" ht="12.75" customHeight="1" x14ac:dyDescent="0.15">
      <c r="A18" s="15">
        <f t="shared" si="1"/>
        <v>46377</v>
      </c>
      <c r="B18" s="15">
        <f t="shared" si="0"/>
        <v>46383</v>
      </c>
      <c r="C18" s="16">
        <f>COUNTIFS(Registro[Data],"&gt;="&amp;A18,Registro[Data],"&lt;="&amp;B18)</f>
        <v>0</v>
      </c>
      <c r="D18" s="17">
        <f>SUMIFS(Registro[Ore],Registro[Data],"&gt;="&amp;A18,Registro[Data],"&lt;="&amp;B18)</f>
        <v>0</v>
      </c>
      <c r="E18" s="17">
        <f>SUM(D$6:D18)</f>
        <v>10.5</v>
      </c>
    </row>
    <row r="19" spans="1:5" ht="12.75" customHeight="1" x14ac:dyDescent="0.15">
      <c r="A19" s="18">
        <f t="shared" si="1"/>
        <v>46384</v>
      </c>
      <c r="B19" s="18">
        <f t="shared" si="0"/>
        <v>46390</v>
      </c>
      <c r="C19" s="19">
        <f>COUNTIFS(Registro[Data],"&gt;="&amp;A19,Registro[Data],"&lt;="&amp;B19)</f>
        <v>0</v>
      </c>
      <c r="D19" s="20">
        <f>SUMIFS(Registro[Ore],Registro[Data],"&gt;="&amp;A19,Registro[Data],"&lt;="&amp;B19)</f>
        <v>0</v>
      </c>
      <c r="E19" s="20">
        <f>SUM(D$6:D19)</f>
        <v>10.5</v>
      </c>
    </row>
    <row r="20" spans="1:5" ht="12.75" customHeight="1" x14ac:dyDescent="0.15">
      <c r="A20" s="15">
        <f t="shared" si="1"/>
        <v>46391</v>
      </c>
      <c r="B20" s="15">
        <f t="shared" si="0"/>
        <v>46397</v>
      </c>
      <c r="C20" s="16">
        <f>COUNTIFS(Registro[Data],"&gt;="&amp;A20,Registro[Data],"&lt;="&amp;B20)</f>
        <v>0</v>
      </c>
      <c r="D20" s="17">
        <f>SUMIFS(Registro[Ore],Registro[Data],"&gt;="&amp;A20,Registro[Data],"&lt;="&amp;B20)</f>
        <v>0</v>
      </c>
      <c r="E20" s="17">
        <f>SUM(D$6:D20)</f>
        <v>10.5</v>
      </c>
    </row>
    <row r="21" spans="1:5" ht="12.75" customHeight="1" x14ac:dyDescent="0.15">
      <c r="A21" s="21">
        <f t="shared" si="1"/>
        <v>46398</v>
      </c>
      <c r="B21" s="21">
        <f t="shared" si="0"/>
        <v>46404</v>
      </c>
      <c r="C21" s="22">
        <f>COUNTIFS(Registro[Data],"&gt;="&amp;A21,Registro[Data],"&lt;="&amp;B21)</f>
        <v>0</v>
      </c>
      <c r="D21" s="23">
        <f>SUMIFS(Registro[Ore],Registro[Data],"&gt;="&amp;A21,Registro[Data],"&lt;="&amp;B21)</f>
        <v>0</v>
      </c>
      <c r="E21" s="23">
        <f>SUM(D$6:D21)</f>
        <v>10.5</v>
      </c>
    </row>
    <row r="22" spans="1:5" ht="12.75" customHeight="1" x14ac:dyDescent="0.15">
      <c r="A22" s="24" t="s">
        <v>39</v>
      </c>
      <c r="B22" s="25"/>
      <c r="C22" s="26">
        <f>SUM(C6:C21)</f>
        <v>7</v>
      </c>
      <c r="D22" s="27">
        <f>SUM(D6:D21)</f>
        <v>10.5</v>
      </c>
      <c r="E22" s="25"/>
    </row>
    <row r="24" spans="1:5" ht="12.75" customHeight="1" x14ac:dyDescent="0.15">
      <c r="A24" s="28" t="s">
        <v>40</v>
      </c>
      <c r="B24" s="28"/>
      <c r="C24" s="28"/>
      <c r="D24" s="29">
        <f>SUM(Registro[Ore])</f>
        <v>10.5</v>
      </c>
    </row>
    <row r="25" spans="1:5" ht="12.75" customHeight="1" x14ac:dyDescent="0.15">
      <c r="A25" s="28" t="s">
        <v>41</v>
      </c>
      <c r="B25" s="28"/>
      <c r="C25" s="28"/>
      <c r="D25" s="29">
        <f>D24-D22</f>
        <v>0</v>
      </c>
    </row>
    <row r="26" spans="1:5" ht="42" customHeight="1" x14ac:dyDescent="0.15">
      <c r="A26" s="31" t="s">
        <v>42</v>
      </c>
      <c r="B26" s="32"/>
      <c r="C26" s="32"/>
      <c r="D26" s="32"/>
      <c r="E26" s="32"/>
    </row>
  </sheetData>
  <mergeCells count="2">
    <mergeCell ref="A26:E26"/>
    <mergeCell ref="A3:E3"/>
  </mergeCells>
  <conditionalFormatting sqref="D25">
    <cfRule type="cellIs" dxfId="0" priority="2" operator="notEqual">
      <formula>0</formula>
    </cfRule>
  </conditionalFormatting>
  <pageMargins left="0.7" right="0.7" top="0.75" bottom="0.75" header="0.511811023622047" footer="0.3"/>
  <pageSetup paperSize="9" orientation="portrait" horizontalDpi="300" verticalDpi="300"/>
  <headerFooter>
    <oddFooter>&amp;CLibretto attività · Pietro Crea · pag. &amp;P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Fogli di lavoro</vt:lpstr>
      </vt:variant>
      <vt:variant>
        <vt:i4>2</vt:i4>
      </vt:variant>
      <vt:variant>
        <vt:lpstr>Intervalli denominati</vt:lpstr>
      </vt:variant>
      <vt:variant>
        <vt:i4>1</vt:i4>
      </vt:variant>
    </vt:vector>
  </HeadingPairs>
  <TitlesOfParts>
    <vt:vector size="3" baseType="lpstr">
      <vt:lpstr>Libretto</vt:lpstr>
      <vt:lpstr>Riepilogo</vt:lpstr>
      <vt:lpstr>Libretto!Titoli_stampa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Bulla, Manuel</dc:creator>
  <cp:lastModifiedBy>Crea, Pietro</cp:lastModifiedBy>
  <cp:revision>0</cp:revision>
  <dcterms:created xsi:type="dcterms:W3CDTF">2026-10-14T11:30:17Z</dcterms:created>
  <dcterms:modified xsi:type="dcterms:W3CDTF">2026-10-15T16:53:47Z</dcterms:modified>
  <dc:language>en-US</dc:language>
</cp:coreProperties>
</file>