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etto" sheetId="1" state="visible" r:id="rId3"/>
    <sheet name="Riepilogo" sheetId="2" state="visible" r:id="rId4"/>
  </sheets>
  <definedNames>
    <definedName function="false" hidden="false" localSheetId="0" name="_xlnm.Print_Titles" vbProcedure="false">Libretto!$8:$8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<sst xmlns="http://schemas.openxmlformats.org/spreadsheetml/2006/main" count="42" uniqueCount="40">
  <si>
    <t xml:space="preserve">Libretto delle attività</t>
  </si>
  <si>
    <t xml:space="preserve">Pietro Crea</t>
  </si>
  <si>
    <t xml:space="preserve">Progetto: Discover Tridentum — Trento Nascosta  ·  Corso: Ingegneria del Software · Prof. Paolo Giorgini · A.A. 2026-2027</t>
  </si>
  <si>
    <t xml:space="preserve">Team: Manuel Bulla · Marco Buffa · Pietro Crea  ·  Repository: github.com/bulla06/Ing-software-prog-test-v1</t>
  </si>
  <si>
    <t xml:space="preserve">Ore totali</t>
  </si>
  <si>
    <t xml:space="preserve">Voci senza ore</t>
  </si>
  <si>
    <t xml:space="preserve">Come si compila: scrivi una riga per ogni attività subito sotto l'ultima della tabella, i totali e il riepilogo si aggiornano da soli. Le ore vanno in decimali (1,5 = un'ora e mezza). Le celle gialle nella colonna Ore sono quelle ancora da inserire.</t>
  </si>
  <si>
    <t xml:space="preserve">Data</t>
  </si>
  <si>
    <t xml:space="preserve">Attività</t>
  </si>
  <si>
    <t xml:space="preserve">Ore</t>
  </si>
  <si>
    <t xml:space="preserve">Descrizione</t>
  </si>
  <si>
    <t xml:space="preserve">Risultato / file</t>
  </si>
  <si>
    <t xml:space="preserve">Fase 1 — Analisi del dominio</t>
  </si>
  <si>
    <t xml:space="preserve">Con Manuel e Marco: analisi del dominio, 2 personas, Stakeholder Matrix e matrice di tracciabilità.</t>
  </si>
  <si>
    <t xml:space="preserve">docs/fase-1-analisi-dominio.md</t>
  </si>
  <si>
    <t xml:space="preserve">Fase 2 — Specifiche dei requisiti</t>
  </si>
  <si>
    <t xml:space="preserve">Con Manuel e Marco: SRS Light con requisiti funzionali (MoSCoW), requisiti non funzionali e casi d'uso.</t>
  </si>
  <si>
    <t xml:space="preserve">docs/fase-2-specifiche-requisiti.md</t>
  </si>
  <si>
    <t xml:space="preserve">Fase 3 — Architettura e user flow</t>
  </si>
  <si>
    <t xml:space="preserve">Con Manuel e Marco: casi d'uso in Mermaid, flusso delle schermate, architettura ad alto livello e diagrammi di sequenza.</t>
  </si>
  <si>
    <t xml:space="preserve">docs/fase-3-architettura-user-flow.md</t>
  </si>
  <si>
    <t xml:space="preserve">Controllo compiti assegnati</t>
  </si>
  <si>
    <t xml:space="preserve">14:29 – Controllato il foglio compiti e la repo aggiornata: nessuno dei 61 compiti risulta assegnato a Pietro (colonna «Assegnato a» vuota).</t>
  </si>
  <si>
    <t xml:space="preserve">docs/compiti.xlsx</t>
  </si>
  <si>
    <t xml:space="preserve">Lettura del documento D1 (Descrizione di Progetto)</t>
  </si>
  <si>
    <t xml:space="preserve">11:14 – Aperto e letto il file D1-2026-V1.2.docx assegnato al gruppo: è il modello del documento di Requirements Engineering (progetto, RF, RNF, Use Case, User Story, mockup, traceability, modifiche).</t>
  </si>
  <si>
    <t xml:space="preserve">D1-2026-V1.2.docx</t>
  </si>
  <si>
    <t xml:space="preserve">Salvataggio del documento D1 in presentazioni</t>
  </si>
  <si>
    <t xml:space="preserve">11:31 – Salvato il file D1 ricevuto dal gruppo nella cartella presentazioni con il nome «D1 finale test» e fatto il push su GitHub.</t>
  </si>
  <si>
    <t xml:space="preserve">presentazioni/D1 finale test.docx</t>
  </si>
  <si>
    <t xml:space="preserve">Riepilogo delle ore</t>
  </si>
  <si>
    <t xml:space="preserve">Ore e voci per settimana (da lunedì a domenica), calcolate dal foglio Libretto: qui non c'è niente da compilare. La prima settimana parte da lunedì 28/09/2026, quella in cui è nato il repository (cella in blu: si può cambiare).</t>
  </si>
  <si>
    <t xml:space="preserve">Settimana dal</t>
  </si>
  <si>
    <t xml:space="preserve">al</t>
  </si>
  <si>
    <t xml:space="preserve">Voci</t>
  </si>
  <si>
    <t xml:space="preserve">Ore cumulate</t>
  </si>
  <si>
    <t xml:space="preserve">Totale</t>
  </si>
  <si>
    <t xml:space="preserve">Ore nel Libretto</t>
  </si>
  <si>
    <t xml:space="preserve">Fuori dalle settimane elencate</t>
  </si>
  <si>
    <t xml:space="preserve">Se 'Fuori dalle settimane elencate' non è zero, ci sono voci con una data oltre l'ultima settimana: inserisci una riga sopra l'ultima settimana e copia le formule dalla riga precedente.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</si>
</sst>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"/>
    <numFmt numFmtId="167" formatCode="m/d/yyyy"/>
    <numFmt numFmtId="168" formatCode="0;\-0;\-"/>
    <numFmt numFmtId="169" formatCode="0.0;\-0.0;\-"/>
  </numFmts>
  <fonts count="1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8"/>
      <color rgb="FF1B2428"/>
      <name val="Arial"/>
      <family val="2"/>
      <charset val="1"/>
    </font>
    <font>
      <b val="true"/>
      <sz val="13"/>
      <color theme="1"/>
      <name val="Arial"/>
      <family val="2"/>
      <charset val="1"/>
    </font>
    <font>
      <sz val="10"/>
      <color rgb="FF6B6B6B"/>
      <name val="Arial"/>
      <family val="2"/>
      <charset val="1"/>
    </font>
    <font>
      <b val="true"/>
      <sz val="10"/>
      <color theme="1"/>
      <name val="Arial"/>
      <family val="2"/>
      <charset val="1"/>
    </font>
    <font>
      <i val="true"/>
      <sz val="10"/>
      <color rgb="FF6B6B6B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B2428"/>
        <bgColor rgb="FF333300"/>
      </patternFill>
    </fill>
    <fill>
      <patternFill patternType="solid">
        <fgColor rgb="FFFBF8F3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CFC0"/>
      </left>
      <right style="thin">
        <color rgb="FFD9CFC0"/>
      </right>
      <top style="thin">
        <color rgb="FFD9CFC0"/>
      </top>
      <bottom style="thin">
        <color rgb="FFD9CFC0"/>
      </bottom>
      <diagonal/>
    </border>
    <border diagonalUp="false" diagonalDown="false">
      <left style="thin">
        <color rgb="FFD9CFC0"/>
      </left>
      <right style="thin">
        <color rgb="FFD9CFC0"/>
      </right>
      <top style="thin">
        <color rgb="FFD9CFC0"/>
      </top>
      <bottom/>
      <diagonal/>
    </border>
    <border diagonalUp="false" diagonalDown="false">
      <left style="thin">
        <color rgb="FFD9CFC0"/>
      </left>
      <right style="thin">
        <color rgb="FFD9CFC0"/>
      </right>
      <top style="thin">
        <color rgb="FF1B2428"/>
      </top>
      <bottom style="thin">
        <color rgb="FFD9CF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42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FF2CC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FC0"/>
      <rgbColor rgb="FF808080"/>
      <rgbColor rgb="FF9999FF"/>
      <rgbColor rgb="FF993366"/>
      <rgbColor rgb="FFFFF2CC"/>
      <rgbColor rgb="FFFBF8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4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gistro" displayName="Registro" ref="A8:E14" headerRowCount="1" totalsRowCount="0" totalsRowShown="0">
  <autoFilter ref="A8:E14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Data"/>
    <tableColumn id="2" name="Attività"/>
    <tableColumn id="3" name="Ore"/>
    <tableColumn id="4" name="Descrizione"/>
    <tableColumn id="5" name="Risultato / file"/>
  </tableColumns>
</table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9.06640625" defaultRowHeight="12.75" zeroHeight="false" outlineLevelRow="0" outlineLevelCol="0"/>
  <cols>
    <col collapsed="false" customWidth="true" hidden="false" outlineLevel="0" max="1" min="1" style="1" width="12.6"/>
    <col collapsed="false" customWidth="true" hidden="false" outlineLevel="0" max="2" min="2" style="1" width="30.6"/>
    <col collapsed="false" customWidth="true" hidden="false" outlineLevel="0" max="3" min="3" style="1" width="8.6"/>
    <col collapsed="false" customWidth="true" hidden="false" outlineLevel="0" max="4" min="4" style="1" width="72.6"/>
    <col collapsed="false" customWidth="true" hidden="false" outlineLevel="0" max="5" min="5" style="1" width="40.6"/>
    <col collapsed="false" customWidth="false" hidden="false" outlineLevel="0" max="16384" min="6" style="1" width="9.06"/>
  </cols>
  <sheetData>
    <row r="1" customFormat="false" ht="25.5" hidden="false" customHeight="true" outlineLevel="0" collapsed="false">
      <c r="A1" s="2" t="s">
        <v>0</v>
      </c>
    </row>
    <row r="2" customFormat="false" ht="16.5" hidden="false" customHeight="true" outlineLevel="0" collapsed="false">
      <c r="A2" s="3" t="s">
        <v>1</v>
      </c>
    </row>
    <row r="3" customFormat="false" ht="12.75" hidden="false" customHeight="true" outlineLevel="0" collapsed="false">
      <c r="A3" s="4" t="s">
        <v>2</v>
      </c>
    </row>
    <row r="4" customFormat="false" ht="12.75" hidden="false" customHeight="true" outlineLevel="0" collapsed="false">
      <c r="A4" s="4" t="s">
        <v>3</v>
      </c>
    </row>
    <row r="5" customFormat="false" ht="12.75" hidden="false" customHeight="true" outlineLevel="0" collapsed="false">
      <c r="B5" s="5" t="s">
        <v>4</v>
      </c>
      <c r="C5" s="6" t="n">
        <f aca="false">SUM(Registro[Ore])</f>
        <v>6</v>
      </c>
    </row>
    <row r="6" customFormat="false" ht="12.75" hidden="false" customHeight="true" outlineLevel="0" collapsed="false">
      <c r="B6" s="5" t="s">
        <v>5</v>
      </c>
      <c r="C6" s="7" t="n">
        <f aca="false">COUNTIFS(Registro[Attività],"&lt;&gt;",Registro[Ore],"")</f>
        <v>3</v>
      </c>
    </row>
    <row r="7" customFormat="false" ht="30" hidden="false" customHeight="true" outlineLevel="0" collapsed="false">
      <c r="A7" s="8" t="s">
        <v>6</v>
      </c>
      <c r="B7" s="8"/>
      <c r="C7" s="8"/>
      <c r="D7" s="8"/>
      <c r="E7" s="8"/>
    </row>
    <row r="8" customFormat="false" ht="21.75" hidden="false" customHeight="true" outlineLevel="0" collapsed="false">
      <c r="A8" s="9" t="s">
        <v>7</v>
      </c>
      <c r="B8" s="9" t="s">
        <v>8</v>
      </c>
      <c r="C8" s="10" t="s">
        <v>9</v>
      </c>
      <c r="D8" s="9" t="s">
        <v>10</v>
      </c>
      <c r="E8" s="9" t="s">
        <v>11</v>
      </c>
    </row>
    <row r="9" customFormat="false" ht="25.5" hidden="false" customHeight="true" outlineLevel="0" collapsed="false">
      <c r="A9" s="11" t="n">
        <v>46295</v>
      </c>
      <c r="B9" s="12" t="s">
        <v>12</v>
      </c>
      <c r="C9" s="13" t="n">
        <v>1</v>
      </c>
      <c r="D9" s="14" t="s">
        <v>13</v>
      </c>
      <c r="E9" s="14" t="s">
        <v>14</v>
      </c>
    </row>
    <row r="10" customFormat="false" ht="25.5" hidden="false" customHeight="true" outlineLevel="0" collapsed="false">
      <c r="A10" s="11" t="n">
        <v>46295</v>
      </c>
      <c r="B10" s="12" t="s">
        <v>15</v>
      </c>
      <c r="C10" s="13" t="n">
        <v>2.5</v>
      </c>
      <c r="D10" s="14" t="s">
        <v>16</v>
      </c>
      <c r="E10" s="14" t="s">
        <v>17</v>
      </c>
    </row>
    <row r="11" customFormat="false" ht="25.5" hidden="false" customHeight="true" outlineLevel="0" collapsed="false">
      <c r="A11" s="11" t="n">
        <v>46295</v>
      </c>
      <c r="B11" s="12" t="s">
        <v>18</v>
      </c>
      <c r="C11" s="13" t="n">
        <v>2.5</v>
      </c>
      <c r="D11" s="14" t="s">
        <v>19</v>
      </c>
      <c r="E11" s="14" t="s">
        <v>20</v>
      </c>
    </row>
    <row r="12" customFormat="false" ht="25.5" hidden="false" customHeight="true" outlineLevel="0" collapsed="false">
      <c r="A12" s="11" t="n">
        <v>46309</v>
      </c>
      <c r="B12" s="12" t="s">
        <v>21</v>
      </c>
      <c r="C12" s="13"/>
      <c r="D12" s="14" t="s">
        <v>22</v>
      </c>
      <c r="E12" s="14" t="s">
        <v>23</v>
      </c>
    </row>
    <row r="13" customFormat="false" ht="25.5" hidden="false" customHeight="true" outlineLevel="0" collapsed="false">
      <c r="A13" s="11" t="n">
        <v>46310</v>
      </c>
      <c r="B13" s="12" t="s">
        <v>24</v>
      </c>
      <c r="C13" s="13"/>
      <c r="D13" s="14" t="s">
        <v>25</v>
      </c>
      <c r="E13" s="14" t="s">
        <v>26</v>
      </c>
    </row>
    <row r="14" customFormat="false" ht="25.5" hidden="false" customHeight="true" outlineLevel="0" collapsed="false">
      <c r="A14" s="11" t="n">
        <v>46310</v>
      </c>
      <c r="B14" s="12" t="s">
        <v>27</v>
      </c>
      <c r="C14" s="13"/>
      <c r="D14" s="14" t="s">
        <v>28</v>
      </c>
      <c r="E14" s="14" t="s">
        <v>29</v>
      </c>
    </row>
  </sheetData>
  <mergeCells count="1">
    <mergeCell ref="A7:E7"/>
  </mergeCells>
  <conditionalFormatting sqref="C9:C14">
    <cfRule type="expression" priority="2" aboveAverage="0" equalAverage="0" bottom="0" percent="0" rank="0" text="" dxfId="6">
      <formula>($B9&lt;&gt;"")*($C9="")</formula>
    </cfRule>
  </conditionalFormatting>
  <dataValidations count="2">
    <dataValidation allowBlank="true" error="Scrivi la data come gg/mm/aaaa, per esempio 14/10/2026." errorStyle="stop" errorTitle="Data non valida" operator="between" showDropDown="false" showErrorMessage="true" showInputMessage="true" sqref="A9:A14" type="date">
      <formula1>46023</formula1>
      <formula2>47483</formula2>
    </dataValidation>
    <dataValidation allowBlank="true" error="Scrivi le ore come numero tra 0 e 24 (1,5 = un'ora e mezza)." errorStyle="stop" errorTitle="Ore non valide" operator="between" prompt="Numero di ore, anche decimale: 1,5 = un'ora e mezza." promptTitle="Ore dedicate" showDropDown="false" showErrorMessage="true" showInputMessage="true" sqref="C9:C14" type="decimal">
      <formula1>0</formula1>
      <formula2>24</formula2>
    </dataValidation>
  </dataValidations>
  <printOptions headings="false" gridLines="false" gridLinesSet="true" horizontalCentered="false" verticalCentered="false"/>
  <pageMargins left="0.590277777777778" right="0.590277777777778" top="0.75" bottom="0.7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&amp;CLibretto attività · Pietro Crea · pag. &amp;P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6640625" defaultRowHeight="12.75" zeroHeight="false" outlineLevelRow="0" outlineLevelCol="0"/>
  <cols>
    <col collapsed="false" customWidth="true" hidden="false" outlineLevel="0" max="1" min="1" style="1" width="16.6"/>
    <col collapsed="false" customWidth="true" hidden="false" outlineLevel="0" max="2" min="2" style="1" width="14.6"/>
    <col collapsed="false" customWidth="true" hidden="false" outlineLevel="0" max="3" min="3" style="1" width="10.6"/>
    <col collapsed="false" customWidth="true" hidden="false" outlineLevel="0" max="4" min="4" style="1" width="12.6"/>
    <col collapsed="false" customWidth="true" hidden="false" outlineLevel="0" max="5" min="5" style="1" width="16.6"/>
    <col collapsed="false" customWidth="false" hidden="false" outlineLevel="0" max="16384" min="6" style="1" width="9.06"/>
  </cols>
  <sheetData>
    <row r="1" customFormat="false" ht="25.5" hidden="false" customHeight="true" outlineLevel="0" collapsed="false">
      <c r="A1" s="2" t="s">
        <v>30</v>
      </c>
    </row>
    <row r="2" customFormat="false" ht="16.5" hidden="false" customHeight="true" outlineLevel="0" collapsed="false">
      <c r="A2" s="3" t="s">
        <v>1</v>
      </c>
    </row>
    <row r="3" customFormat="false" ht="42" hidden="false" customHeight="true" outlineLevel="0" collapsed="false">
      <c r="A3" s="8" t="s">
        <v>31</v>
      </c>
      <c r="B3" s="8"/>
      <c r="C3" s="8"/>
      <c r="D3" s="8"/>
      <c r="E3" s="8"/>
    </row>
    <row r="5" customFormat="false" ht="21.75" hidden="false" customHeight="true" outlineLevel="0" collapsed="false">
      <c r="A5" s="15" t="s">
        <v>32</v>
      </c>
      <c r="B5" s="15" t="s">
        <v>33</v>
      </c>
      <c r="C5" s="15" t="s">
        <v>34</v>
      </c>
      <c r="D5" s="15" t="s">
        <v>9</v>
      </c>
      <c r="E5" s="15" t="s">
        <v>35</v>
      </c>
    </row>
    <row r="6" customFormat="false" ht="12.75" hidden="false" customHeight="true" outlineLevel="0" collapsed="false">
      <c r="A6" s="16" t="n">
        <v>46293</v>
      </c>
      <c r="B6" s="17" t="n">
        <f aca="false">A6+6</f>
        <v>46299</v>
      </c>
      <c r="C6" s="18" t="n">
        <f aca="false">COUNTIFS(Registro[Data],"&gt;="&amp;A6,Registro[Data],"&lt;="&amp;B6)</f>
        <v>3</v>
      </c>
      <c r="D6" s="19" t="n">
        <f aca="false">SUMIFS(Registro[Ore],Registro[Data],"&gt;="&amp;A6,Registro[Data],"&lt;="&amp;B6)</f>
        <v>6</v>
      </c>
      <c r="E6" s="19" t="n">
        <f aca="false">SUM(D$6:D6)</f>
        <v>6</v>
      </c>
    </row>
    <row r="7" customFormat="false" ht="12.75" hidden="false" customHeight="true" outlineLevel="0" collapsed="false">
      <c r="A7" s="20" t="n">
        <f aca="false">A6+7</f>
        <v>46300</v>
      </c>
      <c r="B7" s="20" t="n">
        <f aca="false">A7+6</f>
        <v>46306</v>
      </c>
      <c r="C7" s="21" t="n">
        <f aca="false">COUNTIFS(Registro[Data],"&gt;="&amp;A7,Registro[Data],"&lt;="&amp;B7)</f>
        <v>0</v>
      </c>
      <c r="D7" s="22" t="n">
        <f aca="false">SUMIFS(Registro[Ore],Registro[Data],"&gt;="&amp;A7,Registro[Data],"&lt;="&amp;B7)</f>
        <v>0</v>
      </c>
      <c r="E7" s="22" t="n">
        <f aca="false">SUM(D$6:D7)</f>
        <v>6</v>
      </c>
    </row>
    <row r="8" customFormat="false" ht="12.75" hidden="false" customHeight="true" outlineLevel="0" collapsed="false">
      <c r="A8" s="17" t="n">
        <f aca="false">A7+7</f>
        <v>46307</v>
      </c>
      <c r="B8" s="17" t="n">
        <f aca="false">A8+6</f>
        <v>46313</v>
      </c>
      <c r="C8" s="18" t="n">
        <f aca="false">COUNTIFS(Registro[Data],"&gt;="&amp;A8,Registro[Data],"&lt;="&amp;B8)</f>
        <v>3</v>
      </c>
      <c r="D8" s="19" t="n">
        <f aca="false">SUMIFS(Registro[Ore],Registro[Data],"&gt;="&amp;A8,Registro[Data],"&lt;="&amp;B8)</f>
        <v>0</v>
      </c>
      <c r="E8" s="19" t="n">
        <f aca="false">SUM(D$6:D8)</f>
        <v>6</v>
      </c>
    </row>
    <row r="9" customFormat="false" ht="12.75" hidden="false" customHeight="true" outlineLevel="0" collapsed="false">
      <c r="A9" s="20" t="n">
        <f aca="false">A8+7</f>
        <v>46314</v>
      </c>
      <c r="B9" s="20" t="n">
        <f aca="false">A9+6</f>
        <v>46320</v>
      </c>
      <c r="C9" s="21" t="n">
        <f aca="false">COUNTIFS(Registro[Data],"&gt;="&amp;A9,Registro[Data],"&lt;="&amp;B9)</f>
        <v>0</v>
      </c>
      <c r="D9" s="22" t="n">
        <f aca="false">SUMIFS(Registro[Ore],Registro[Data],"&gt;="&amp;A9,Registro[Data],"&lt;="&amp;B9)</f>
        <v>0</v>
      </c>
      <c r="E9" s="22" t="n">
        <f aca="false">SUM(D$6:D9)</f>
        <v>6</v>
      </c>
    </row>
    <row r="10" customFormat="false" ht="12.75" hidden="false" customHeight="true" outlineLevel="0" collapsed="false">
      <c r="A10" s="17" t="n">
        <f aca="false">A9+7</f>
        <v>46321</v>
      </c>
      <c r="B10" s="17" t="n">
        <f aca="false">A10+6</f>
        <v>46327</v>
      </c>
      <c r="C10" s="18" t="n">
        <f aca="false">COUNTIFS(Registro[Data],"&gt;="&amp;A10,Registro[Data],"&lt;="&amp;B10)</f>
        <v>0</v>
      </c>
      <c r="D10" s="19" t="n">
        <f aca="false">SUMIFS(Registro[Ore],Registro[Data],"&gt;="&amp;A10,Registro[Data],"&lt;="&amp;B10)</f>
        <v>0</v>
      </c>
      <c r="E10" s="19" t="n">
        <f aca="false">SUM(D$6:D10)</f>
        <v>6</v>
      </c>
    </row>
    <row r="11" customFormat="false" ht="12.75" hidden="false" customHeight="true" outlineLevel="0" collapsed="false">
      <c r="A11" s="20" t="n">
        <f aca="false">A10+7</f>
        <v>46328</v>
      </c>
      <c r="B11" s="20" t="n">
        <f aca="false">A11+6</f>
        <v>46334</v>
      </c>
      <c r="C11" s="21" t="n">
        <f aca="false">COUNTIFS(Registro[Data],"&gt;="&amp;A11,Registro[Data],"&lt;="&amp;B11)</f>
        <v>0</v>
      </c>
      <c r="D11" s="22" t="n">
        <f aca="false">SUMIFS(Registro[Ore],Registro[Data],"&gt;="&amp;A11,Registro[Data],"&lt;="&amp;B11)</f>
        <v>0</v>
      </c>
      <c r="E11" s="22" t="n">
        <f aca="false">SUM(D$6:D11)</f>
        <v>6</v>
      </c>
    </row>
    <row r="12" customFormat="false" ht="12.75" hidden="false" customHeight="true" outlineLevel="0" collapsed="false">
      <c r="A12" s="17" t="n">
        <f aca="false">A11+7</f>
        <v>46335</v>
      </c>
      <c r="B12" s="17" t="n">
        <f aca="false">A12+6</f>
        <v>46341</v>
      </c>
      <c r="C12" s="18" t="n">
        <f aca="false">COUNTIFS(Registro[Data],"&gt;="&amp;A12,Registro[Data],"&lt;="&amp;B12)</f>
        <v>0</v>
      </c>
      <c r="D12" s="19" t="n">
        <f aca="false">SUMIFS(Registro[Ore],Registro[Data],"&gt;="&amp;A12,Registro[Data],"&lt;="&amp;B12)</f>
        <v>0</v>
      </c>
      <c r="E12" s="19" t="n">
        <f aca="false">SUM(D$6:D12)</f>
        <v>6</v>
      </c>
    </row>
    <row r="13" customFormat="false" ht="12.75" hidden="false" customHeight="true" outlineLevel="0" collapsed="false">
      <c r="A13" s="20" t="n">
        <f aca="false">A12+7</f>
        <v>46342</v>
      </c>
      <c r="B13" s="20" t="n">
        <f aca="false">A13+6</f>
        <v>46348</v>
      </c>
      <c r="C13" s="21" t="n">
        <f aca="false">COUNTIFS(Registro[Data],"&gt;="&amp;A13,Registro[Data],"&lt;="&amp;B13)</f>
        <v>0</v>
      </c>
      <c r="D13" s="22" t="n">
        <f aca="false">SUMIFS(Registro[Ore],Registro[Data],"&gt;="&amp;A13,Registro[Data],"&lt;="&amp;B13)</f>
        <v>0</v>
      </c>
      <c r="E13" s="22" t="n">
        <f aca="false">SUM(D$6:D13)</f>
        <v>6</v>
      </c>
    </row>
    <row r="14" customFormat="false" ht="12.75" hidden="false" customHeight="true" outlineLevel="0" collapsed="false">
      <c r="A14" s="17" t="n">
        <f aca="false">A13+7</f>
        <v>46349</v>
      </c>
      <c r="B14" s="17" t="n">
        <f aca="false">A14+6</f>
        <v>46355</v>
      </c>
      <c r="C14" s="18" t="n">
        <f aca="false">COUNTIFS(Registro[Data],"&gt;="&amp;A14,Registro[Data],"&lt;="&amp;B14)</f>
        <v>0</v>
      </c>
      <c r="D14" s="19" t="n">
        <f aca="false">SUMIFS(Registro[Ore],Registro[Data],"&gt;="&amp;A14,Registro[Data],"&lt;="&amp;B14)</f>
        <v>0</v>
      </c>
      <c r="E14" s="19" t="n">
        <f aca="false">SUM(D$6:D14)</f>
        <v>6</v>
      </c>
    </row>
    <row r="15" customFormat="false" ht="12.75" hidden="false" customHeight="true" outlineLevel="0" collapsed="false">
      <c r="A15" s="20" t="n">
        <f aca="false">A14+7</f>
        <v>46356</v>
      </c>
      <c r="B15" s="20" t="n">
        <f aca="false">A15+6</f>
        <v>46362</v>
      </c>
      <c r="C15" s="21" t="n">
        <f aca="false">COUNTIFS(Registro[Data],"&gt;="&amp;A15,Registro[Data],"&lt;="&amp;B15)</f>
        <v>0</v>
      </c>
      <c r="D15" s="22" t="n">
        <f aca="false">SUMIFS(Registro[Ore],Registro[Data],"&gt;="&amp;A15,Registro[Data],"&lt;="&amp;B15)</f>
        <v>0</v>
      </c>
      <c r="E15" s="22" t="n">
        <f aca="false">SUM(D$6:D15)</f>
        <v>6</v>
      </c>
    </row>
    <row r="16" customFormat="false" ht="12.75" hidden="false" customHeight="true" outlineLevel="0" collapsed="false">
      <c r="A16" s="17" t="n">
        <f aca="false">A15+7</f>
        <v>46363</v>
      </c>
      <c r="B16" s="17" t="n">
        <f aca="false">A16+6</f>
        <v>46369</v>
      </c>
      <c r="C16" s="18" t="n">
        <f aca="false">COUNTIFS(Registro[Data],"&gt;="&amp;A16,Registro[Data],"&lt;="&amp;B16)</f>
        <v>0</v>
      </c>
      <c r="D16" s="19" t="n">
        <f aca="false">SUMIFS(Registro[Ore],Registro[Data],"&gt;="&amp;A16,Registro[Data],"&lt;="&amp;B16)</f>
        <v>0</v>
      </c>
      <c r="E16" s="19" t="n">
        <f aca="false">SUM(D$6:D16)</f>
        <v>6</v>
      </c>
    </row>
    <row r="17" customFormat="false" ht="12.75" hidden="false" customHeight="true" outlineLevel="0" collapsed="false">
      <c r="A17" s="20" t="n">
        <f aca="false">A16+7</f>
        <v>46370</v>
      </c>
      <c r="B17" s="20" t="n">
        <f aca="false">A17+6</f>
        <v>46376</v>
      </c>
      <c r="C17" s="21" t="n">
        <f aca="false">COUNTIFS(Registro[Data],"&gt;="&amp;A17,Registro[Data],"&lt;="&amp;B17)</f>
        <v>0</v>
      </c>
      <c r="D17" s="22" t="n">
        <f aca="false">SUMIFS(Registro[Ore],Registro[Data],"&gt;="&amp;A17,Registro[Data],"&lt;="&amp;B17)</f>
        <v>0</v>
      </c>
      <c r="E17" s="22" t="n">
        <f aca="false">SUM(D$6:D17)</f>
        <v>6</v>
      </c>
    </row>
    <row r="18" customFormat="false" ht="12.75" hidden="false" customHeight="true" outlineLevel="0" collapsed="false">
      <c r="A18" s="17" t="n">
        <f aca="false">A17+7</f>
        <v>46377</v>
      </c>
      <c r="B18" s="17" t="n">
        <f aca="false">A18+6</f>
        <v>46383</v>
      </c>
      <c r="C18" s="18" t="n">
        <f aca="false">COUNTIFS(Registro[Data],"&gt;="&amp;A18,Registro[Data],"&lt;="&amp;B18)</f>
        <v>0</v>
      </c>
      <c r="D18" s="19" t="n">
        <f aca="false">SUMIFS(Registro[Ore],Registro[Data],"&gt;="&amp;A18,Registro[Data],"&lt;="&amp;B18)</f>
        <v>0</v>
      </c>
      <c r="E18" s="19" t="n">
        <f aca="false">SUM(D$6:D18)</f>
        <v>6</v>
      </c>
    </row>
    <row r="19" customFormat="false" ht="12.75" hidden="false" customHeight="true" outlineLevel="0" collapsed="false">
      <c r="A19" s="20" t="n">
        <f aca="false">A18+7</f>
        <v>46384</v>
      </c>
      <c r="B19" s="20" t="n">
        <f aca="false">A19+6</f>
        <v>46390</v>
      </c>
      <c r="C19" s="21" t="n">
        <f aca="false">COUNTIFS(Registro[Data],"&gt;="&amp;A19,Registro[Data],"&lt;="&amp;B19)</f>
        <v>0</v>
      </c>
      <c r="D19" s="22" t="n">
        <f aca="false">SUMIFS(Registro[Ore],Registro[Data],"&gt;="&amp;A19,Registro[Data],"&lt;="&amp;B19)</f>
        <v>0</v>
      </c>
      <c r="E19" s="22" t="n">
        <f aca="false">SUM(D$6:D19)</f>
        <v>6</v>
      </c>
    </row>
    <row r="20" customFormat="false" ht="12.75" hidden="false" customHeight="true" outlineLevel="0" collapsed="false">
      <c r="A20" s="17" t="n">
        <f aca="false">A19+7</f>
        <v>46391</v>
      </c>
      <c r="B20" s="17" t="n">
        <f aca="false">A20+6</f>
        <v>46397</v>
      </c>
      <c r="C20" s="18" t="n">
        <f aca="false">COUNTIFS(Registro[Data],"&gt;="&amp;A20,Registro[Data],"&lt;="&amp;B20)</f>
        <v>0</v>
      </c>
      <c r="D20" s="19" t="n">
        <f aca="false">SUMIFS(Registro[Ore],Registro[Data],"&gt;="&amp;A20,Registro[Data],"&lt;="&amp;B20)</f>
        <v>0</v>
      </c>
      <c r="E20" s="19" t="n">
        <f aca="false">SUM(D$6:D20)</f>
        <v>6</v>
      </c>
    </row>
    <row r="21" customFormat="false" ht="12.75" hidden="false" customHeight="true" outlineLevel="0" collapsed="false">
      <c r="A21" s="23" t="n">
        <f aca="false">A20+7</f>
        <v>46398</v>
      </c>
      <c r="B21" s="23" t="n">
        <f aca="false">A21+6</f>
        <v>46404</v>
      </c>
      <c r="C21" s="24" t="n">
        <f aca="false">COUNTIFS(Registro[Data],"&gt;="&amp;A21,Registro[Data],"&lt;="&amp;B21)</f>
        <v>0</v>
      </c>
      <c r="D21" s="25" t="n">
        <f aca="false">SUMIFS(Registro[Ore],Registro[Data],"&gt;="&amp;A21,Registro[Data],"&lt;="&amp;B21)</f>
        <v>0</v>
      </c>
      <c r="E21" s="25" t="n">
        <f aca="false">SUM(D$6:D21)</f>
        <v>6</v>
      </c>
    </row>
    <row r="22" customFormat="false" ht="12.75" hidden="false" customHeight="true" outlineLevel="0" collapsed="false">
      <c r="A22" s="26" t="s">
        <v>36</v>
      </c>
      <c r="B22" s="27"/>
      <c r="C22" s="28" t="n">
        <f aca="false">SUM(C6:C21)</f>
        <v>6</v>
      </c>
      <c r="D22" s="29" t="n">
        <f aca="false">SUM(D6:D21)</f>
        <v>6</v>
      </c>
      <c r="E22" s="27"/>
    </row>
    <row r="24" customFormat="false" ht="12.75" hidden="false" customHeight="true" outlineLevel="0" collapsed="false">
      <c r="A24" s="30" t="s">
        <v>37</v>
      </c>
      <c r="B24" s="30"/>
      <c r="C24" s="30"/>
      <c r="D24" s="31" t="n">
        <f aca="false">SUM(Registro[Ore])</f>
        <v>6</v>
      </c>
    </row>
    <row r="25" customFormat="false" ht="12.75" hidden="false" customHeight="true" outlineLevel="0" collapsed="false">
      <c r="A25" s="30" t="s">
        <v>38</v>
      </c>
      <c r="B25" s="30"/>
      <c r="C25" s="30"/>
      <c r="D25" s="31" t="n">
        <f aca="false">D24-D22</f>
        <v>0</v>
      </c>
    </row>
    <row r="26" customFormat="false" ht="42" hidden="false" customHeight="true" outlineLevel="0" collapsed="false">
      <c r="A26" s="8" t="s">
        <v>39</v>
      </c>
      <c r="B26" s="8"/>
      <c r="C26" s="8"/>
      <c r="D26" s="8"/>
      <c r="E26" s="8"/>
    </row>
  </sheetData>
  <mergeCells count="2">
    <mergeCell ref="A3:E3"/>
    <mergeCell ref="A26:E26"/>
  </mergeCells>
  <conditionalFormatting sqref="D25">
    <cfRule type="cellIs" priority="2" operator="notEqual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&amp;CLibretto attività · Pietro Crea · pag.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2026-10-14T11:30:17Z</dcterms:created>
  <dc:creator>Bulla, Manuel</dc:creator>
  <dc:description/>
  <dc:language>en-US</dc:language>
  <cp:lastModifiedBy>Bulla, Manuel</cp:lastModifiedBy>
  <dcterms:modified xsi:type="dcterms:W3CDTF">2026-10-15T09:31:00Z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