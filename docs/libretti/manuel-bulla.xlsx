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bulla\AppData\Local\Temp\claude\C--Users-bulla-Documents-Ing-software-v1\c32cf868-ae9e-4ff3-a799-856eab5b1d43\scratchpad\out\"/>
    </mc:Choice>
  </mc:AlternateContent>
  <xr:revisionPtr revIDLastSave="0" documentId="8_{C878ED29-E396-4254-83AE-A2FD767EA069}" xr6:coauthVersionLast="47" xr6:coauthVersionMax="47" xr10:uidLastSave="{00000000-0000-0000-0000-000000000000}"/>
  <bookViews>
    <workbookView xWindow="-98" yWindow="-98" windowWidth="21795" windowHeight="12975" xr2:uid="{EB300ADB-58B5-479D-B51B-E912DFEACD78}"/>
  </bookViews>
  <sheets>
    <sheet name="Libretto" sheetId="1" r:id="rId1"/>
    <sheet name="Riepilogo" sheetId="2" r:id="rId2"/>
  </sheets>
  <definedNames>
    <definedName name="_xlnm.Print_Titles" localSheetId="0">Libretto!$8:$8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5" i="2" l="1"/>
  <c r="D24" i="2"/>
  <c r="D22" i="2"/>
  <c r="C22" i="2"/>
  <c r="E21" i="2"/>
  <c r="D21" i="2"/>
  <c r="C21" i="2"/>
  <c r="B21" i="2"/>
  <c r="A21" i="2"/>
  <c r="E20" i="2"/>
  <c r="D20" i="2"/>
  <c r="C20" i="2"/>
  <c r="B20" i="2"/>
  <c r="A20" i="2"/>
  <c r="E19" i="2"/>
  <c r="D19" i="2"/>
  <c r="C19" i="2"/>
  <c r="B19" i="2"/>
  <c r="A19" i="2"/>
  <c r="E18" i="2"/>
  <c r="D18" i="2"/>
  <c r="C18" i="2"/>
  <c r="B18" i="2"/>
  <c r="A18" i="2"/>
  <c r="E17" i="2"/>
  <c r="D17" i="2"/>
  <c r="C17" i="2"/>
  <c r="B17" i="2"/>
  <c r="A17" i="2"/>
  <c r="E16" i="2"/>
  <c r="D16" i="2"/>
  <c r="C16" i="2"/>
  <c r="B16" i="2"/>
  <c r="A16" i="2"/>
  <c r="E15" i="2"/>
  <c r="D15" i="2"/>
  <c r="C15" i="2"/>
  <c r="B15" i="2"/>
  <c r="A15" i="2"/>
  <c r="E14" i="2"/>
  <c r="D14" i="2"/>
  <c r="C14" i="2"/>
  <c r="B14" i="2"/>
  <c r="A14" i="2"/>
  <c r="E13" i="2"/>
  <c r="D13" i="2"/>
  <c r="C13" i="2"/>
  <c r="B13" i="2"/>
  <c r="A13" i="2"/>
  <c r="E12" i="2"/>
  <c r="D12" i="2"/>
  <c r="C12" i="2"/>
  <c r="B12" i="2"/>
  <c r="A12" i="2"/>
  <c r="E11" i="2"/>
  <c r="D11" i="2"/>
  <c r="C11" i="2"/>
  <c r="B11" i="2"/>
  <c r="A11" i="2"/>
  <c r="E10" i="2"/>
  <c r="D10" i="2"/>
  <c r="C10" i="2"/>
  <c r="B10" i="2"/>
  <c r="A10" i="2"/>
  <c r="E9" i="2"/>
  <c r="D9" i="2"/>
  <c r="C9" i="2"/>
  <c r="B9" i="2"/>
  <c r="A9" i="2"/>
  <c r="E8" i="2"/>
  <c r="D8" i="2"/>
  <c r="C8" i="2"/>
  <c r="B8" i="2"/>
  <c r="A8" i="2"/>
  <c r="E7" i="2"/>
  <c r="D7" i="2"/>
  <c r="C7" i="2"/>
  <c r="B7" i="2"/>
  <c r="A7" i="2"/>
  <c r="E6" i="2"/>
  <c r="D6" i="2"/>
  <c r="C6" i="2"/>
  <c r="B6" i="2"/>
  <c r="C6" i="1"/>
  <c r="C5" i="1"/>
</calcChain>
</file>

<file path=xl/sharedStrings.xml><?xml version="1.0" encoding="utf-8"?>
<sst xmlns="http://schemas.openxmlformats.org/spreadsheetml/2006/main" count="81" uniqueCount="78">
  <si>
    <t>Libretto delle attività</t>
  </si>
  <si>
    <t>Manuel Bulla</t>
  </si>
  <si>
    <t>Progetto: Discover Tridentum — Trento Nascosta  ·  Corso: Ingegneria del Software · Prof. Paolo Giorgini · A.A. 2026-2027</t>
  </si>
  <si>
    <t>Team: Manuel Bulla · Marco Buffa · Pietro Crea  ·  Repository: github.com/bulla06/Ing-software-prog-test-v1</t>
  </si>
  <si>
    <t>Ore totali</t>
  </si>
  <si>
    <t>Voci senza ore</t>
  </si>
  <si>
    <t>Come si compila: scrivi una riga per ogni attività subito sotto l'ultima della tabella, i totali e il riepilogo si aggiornano da soli. Le ore vanno in decimali (1,5 = un'ora e mezza). Le celle gialle nella colonna Ore sono quelle ancora da inserire.</t>
  </si>
  <si>
    <t>Data</t>
  </si>
  <si>
    <t>Attività</t>
  </si>
  <si>
    <t>Ore</t>
  </si>
  <si>
    <t>Descrizione</t>
  </si>
  <si>
    <t>Risultato / file</t>
  </si>
  <si>
    <t>Avvio repository</t>
  </si>
  <si>
    <t>Creazione del repository GitHub del progetto, primo commit e collegamento al remote origin.</t>
  </si>
  <si>
    <t>Ing-software-prog-test-v1</t>
  </si>
  <si>
    <t>Prima versione presentazione</t>
  </si>
  <si>
    <t>Caricata nel repository la prima versione della presentazione del progetto (5 slide: contesto, problema, soluzione, vantaggi).</t>
  </si>
  <si>
    <t>DISCOVER_TRIDENTUM_VF.pptx</t>
  </si>
  <si>
    <t>Nuovo design presentazione</t>
  </si>
  <si>
    <t>Revisione della presentazione: design più pulito e testi più sintetici, dettagli spostati nelle note del relatore.</t>
  </si>
  <si>
    <t>DISCOVER_TRIDENTUM_v2.pptx</t>
  </si>
  <si>
    <t>Organizzazione repository</t>
  </si>
  <si>
    <t>Creata la cartella presentazioni/ e spostati i file; integrate le modifiche dei compagni (git pull --rebase) prima del push.</t>
  </si>
  <si>
    <t>presentazioni/</t>
  </si>
  <si>
    <t>README del progetto</t>
  </si>
  <si>
    <t>Scrittura del README GitHub: descrizione, problema, funzionalità, stakeholder, struttura del repository, team.</t>
  </si>
  <si>
    <t>README.md</t>
  </si>
  <si>
    <t>Fase 1 — Analisi del dominio</t>
  </si>
  <si>
    <t>Documento di Fase 1: analisi del dominio, 2 personas (turista e residente), Stakeholder Matrix interesse/potere, matrice di tracciabilità problema → bisogno → requisito.</t>
  </si>
  <si>
    <t>docs/fase-1-analisi-dominio.md</t>
  </si>
  <si>
    <t>Libretti delle attività</t>
  </si>
  <si>
    <t>Creata la cartella documentazione/ con un libretto delle attività per ciascun membro del team.</t>
  </si>
  <si>
    <t>documentazione/</t>
  </si>
  <si>
    <t>Fase 2 — Specifiche dei requisiti</t>
  </si>
  <si>
    <t>SRS Light: 29 requisiti funzionali prioritizzati con MoSCoW (11 Must, 9 Should, 5 Could, 4 Won't), requisiti non funzionali (usabilità, prestazioni, sicurezza, portabilità) con metriche, 7 casi d'uso con diagramma.</t>
  </si>
  <si>
    <t>docs/fase-2-specifiche-requisiti.md</t>
  </si>
  <si>
    <t>Riorganizzazione secondo le convenzioni</t>
  </si>
  <si>
    <t>Revisione del repository: cartelle e nomi dei file uniformati (documentazione/ → docs/libretti/, presentazioni rinominate in presentazione-v1/v2, proposta PDF in docs/fase-0-proposta-progetto.pdf); aggiunti .gitignore, .gitattributes e CONTRIBUTING.md con le convenzioni del team; Fase 1 e Fase 2 portate alla versione 0.2 con storico delle revisioni e matrice di tracciabilità (vecchi → nuovi ID, bisogni → requisiti, requisiti → casi d'uso).</t>
  </si>
  <si>
    <t>CONTRIBUTING.md, docs/</t>
  </si>
  <si>
    <t>Pubblicazione della riorganizzazione</t>
  </si>
  <si>
    <t>Commit e push su GitHub della riorganizzazione del repository (commit 34fe9ee), dopo git pull --rebase per integrare eventuali modifiche dei compagni. Aggiornato il libretto con le attività svolte.</t>
  </si>
  <si>
    <t>main su GitHub</t>
  </si>
  <si>
    <t>Fase 3 — Architettura e user flow</t>
  </si>
  <si>
    <t>Documento di Fase 3: diagramma dei casi d'uso in Mermaid (vista generale e relazioni «include»/«extend»), elenco delle schermate, flusso dall'accesso alla consultazione, mappa di navigazione, user journey delle personas, architettura ad alto livello (Frontend Web, API Gateway, Backend, AI Service, Database, Storage foto), decisioni architetturali, diagrammi di sequenza, deployment e tracciabilità. Fase 2 aggiornata alla v0.3 con i casi d'uso UC-08, UC-09, UC-10. Diagrammi verificati con il renderer Mermaid.</t>
  </si>
  <si>
    <t>docs/fase-3-architettura-user-flow.md</t>
  </si>
  <si>
    <t>Fase 4 — Pianificazione dello sviluppo</t>
  </si>
  <si>
    <t>Documento di Fase 4: definizione dell'MVP con ordine di taglio dei requisiti Should, WBS in 11 pacchetti e 43 task stimati (261 h), percorso critico, capacità del team, piano con Sprint 0, tre sprint da 3 settimane e stabilizzazione, roadmap Gantt con 5 milestone (MVP entro il 20/12/2026), processo Scrum semplificato e Definition of Done, matrice dei rischi tecnici e di progetto (15 rischi) con prevenzione, piano B e indicatori. Diagrammi verificati con il renderer Mermaid.</t>
  </si>
  <si>
    <t>docs/fase-4-pianificazione.md</t>
  </si>
  <si>
    <t>Revisione della pianificazione</t>
  </si>
  <si>
    <t>Piano di sviluppo riorganizzato con priorità ai luoghi: ricerca, filtri e itinerari tematici portati a Must, gioco "Dov'era?" portato a Could. Fase 4 v0.2: Sprint 1 dedicato a mappa, schede e contenuti (almeno 30 POI e 15 affreschi con revisione delle fonti), Sprint 2 a gestione dei luoghi, account e itinerari, Sprint 3 alla community; il gioco è l'ultimo blocco e il primo da tagliare. Aggiunto il rischio R-16. Fase 2 aggiornata alla v0.4.</t>
  </si>
  <si>
    <t>docs/fase-4-pianificazione.md, docs/fase-2-specifiche-requisiti.md</t>
  </si>
  <si>
    <t>Frontend v2 e gioco fotografico</t>
  </si>
  <si>
    <t>Nuova versione del sito in src/frontend-v2 (npm run dev:v2), costruita sulla v1 collegata al backend: mappa dei luoghi con raggruppamento dei POI vicini, icone di categoria, nomi visibili ingrandendo e sfondo attenuato; layout desktop con elenco e mappa affiancati, scheda su due colonne; copertine con il ritaglio della mappa; nuovo stile (font Geist, icone Phosphor, tema chiaro e scuro). Gioco "Dov'era?" trasformato in stile GeoGuessr: 8 foto storiche di pubblico dominio da Wikimedia Commons al posto degli indizi testuali, con crediti mostrati dopo la risposta (backend: migrazione 002, nuova rotta per le foto, test). Controllo con le Web Interface Guidelines e correzioni (accessibilità da tastiera del gioco, link veri, tipografia, titoli di pagina).</t>
  </si>
  <si>
    <t>src/frontend-v2/, src/backend/src/db/dati/foto-gioco/</t>
  </si>
  <si>
    <t>Frontend v2 per smartphone</t>
  </si>
  <si>
    <t>Revisione della v2 per chi la usa dal telefono: anteprima dei luoghi come pannello dal basso che si chiude trascinandolo, con la mappa che sposta il luogo selezionato nello spazio libero; scheda riordinata (informazioni pratiche e luoghi vicini prima delle fonti) con barra in alto per tornare indietro e condividere il luogo; barra fissa con le tappe dell'itinerario sopra la navigazione; avvisi sulla posizione che si chiudono da soli; aree di tocco di almeno 44 px, campi a 16 px per evitare lo zoom su iPhone, niente effetti hover dopo il tocco; vibrazione quando si mette il segnaposto nel gioco.</t>
  </si>
  <si>
    <t>src/frontend-v2/</t>
  </si>
  <si>
    <t>Pulizia dello spazio di lavoro</t>
  </si>
  <si>
    <t>Riordino delle cartelle dopo la separazione della versione corrente dalle versioni precedenti: rimossa la cartella src/ rimasta dal vecchio layout (build, cache e un vecchio database di prova), chiusi i server di sviluppo ancora avviati da lì, ricollegate le dipendenze dei workspace a versione-corrente/ e rieseguiti i test (7 del frontend e 146 del backend, tutti superati). Eliminato il branch locale già unito a main. La struttura del repository è stata verificata rispetto al README.</t>
  </si>
  <si>
    <t>Spazio di lavoro locale; struttura del README invariata</t>
  </si>
  <si>
    <t>Controllo dei requisiti della Fase 2</t>
  </si>
  <si>
    <t>Verifica della versione corrente del sito rispetto ai requisiti della Fase 2 (v0.4): requisiti funzionali e non funzionali, casi d'uso con flussi alternativi ed eccezioni. Lettura del codice di frontend e backend, esecuzione dei test (7 del frontend e 146 del backend, tutti superati), prove a 360 px di larghezza e in assenza di connessione, build di produzione. Risultato raccolto in un nuovo documento: i requisiti funzionali Must e Should sono tutti presenti; mancano o sono incompleti l'informativa privacy, la configurazione HTTPS, parte delle eccezioni dei casi d'uso, le foto dei luoghi e alcuni requisiti Could.</t>
  </si>
  <si>
    <t>docs/cose-mancanti.md</t>
  </si>
  <si>
    <t>Secondo controllo dei requisiti della Fase 2</t>
  </si>
  <si>
    <t>Nuova verifica della versione corrente (frontend v3) dopo il completamento dei punti del documento Cose mancanti: lettura delle modifiche, test (11 del frontend e 274 del backend, tutti superati), prove a 360 px di larghezza, senza connessione e con Chrome (installazione come app, apertura senza rete, tempi su rete simulata, mappa allargata). Il documento è passato alla versione 0.2: 17 voci su 26 risultano chiuse; restano le foto dei luoghi (lo script di scaricamento va eseguito e la scelta rivista), i compiti del titolare per la privacy, la verifica con la Soprintendenza e le prove con persone e dispositivi reali.</t>
  </si>
  <si>
    <t>Libretti in Excel con conta ore</t>
  </si>
  <si>
    <t>Convertiti i tre libretti da Word a Excel, un file per ogni membro del team: stessa tabella di prima con in più la colonna Ore, il totale delle ore, il conteggio delle voci senza ore e un riepilogo delle ore per settimana che si aggiorna da solo. Le ore delle attività già registrate non erano annotate e restano da inserire. Aggiornati CONTRIBUTING.md e .gitattributes per il nuovo formato.</t>
  </si>
  <si>
    <t>docs/libretti/*.xlsx</t>
  </si>
  <si>
    <t>Riepilogo delle ore</t>
  </si>
  <si>
    <t>Ore e voci per settimana (da lunedì a domenica), calcolate dal foglio Libretto: qui non c'è niente da compilare. La prima settimana parte da lunedì 28/09/2026, quella in cui è nato il repository (cella in blu: si può cambiare).</t>
  </si>
  <si>
    <t>Settimana dal</t>
  </si>
  <si>
    <t>al</t>
  </si>
  <si>
    <t>Voci</t>
  </si>
  <si>
    <t>Ore cumulate</t>
  </si>
  <si>
    <t>Totale</t>
  </si>
  <si>
    <t>Ore nel Libretto</t>
  </si>
  <si>
    <t>Fuori dalle settimane elencate</t>
  </si>
  <si>
    <t>Se 'Fuori dalle settimane elencate' non è zero, ci sono voci con una data oltre l'ultima settimana: inserisci una riga sopra l'ultima settimana e copia le formule dalla riga precedente.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</si>
</sst>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0;\-0;&quot;-&quot;"/>
    <numFmt numFmtId="166" formatCode="0.0;\-0.0;&quot;-&quot;"/>
  </numFmts>
  <fonts count="9" x14ac:knownFonts="1">
    <font>
      <sz val="11"/>
      <color theme="1"/>
      <name val="Aptos Narrow"/>
      <family val="2"/>
      <scheme val="minor"/>
    </font>
    <font>
      <sz val="10"/>
      <color theme="1"/>
      <name val="Arial"/>
      <family val="2"/>
    </font>
    <font>
      <b/>
      <sz val="18"/>
      <color rgb="FF1B2428"/>
      <name val="Arial"/>
      <family val="2"/>
    </font>
    <font>
      <b/>
      <sz val="13"/>
      <color theme="1"/>
      <name val="Arial"/>
      <family val="2"/>
    </font>
    <font>
      <sz val="10"/>
      <color rgb="FF6B6B6B"/>
      <name val="Arial"/>
      <family val="2"/>
    </font>
    <font>
      <b/>
      <sz val="10"/>
      <color theme="1"/>
      <name val="Arial"/>
      <family val="2"/>
    </font>
    <font>
      <i/>
      <sz val="10"/>
      <color rgb="FF6B6B6B"/>
      <name val="Arial"/>
      <family val="2"/>
    </font>
    <font>
      <b/>
      <sz val="10"/>
      <color rgb="FFFFFFFF"/>
      <name val="Arial"/>
      <family val="2"/>
    </font>
    <font>
      <sz val="10"/>
      <color rgb="FF0000FF"/>
      <name val="Arial"/>
      <family val="2"/>
    </font>
  </fonts>
  <fills count="4">
    <fill>
      <patternFill patternType="none"/>
    </fill>
    <fill>
      <patternFill patternType="gray125"/>
    </fill>
    <fill>
      <patternFill patternType="solid">
        <fgColor rgb="FF1B2428"/>
        <bgColor indexed="64"/>
      </patternFill>
    </fill>
    <fill>
      <patternFill patternType="solid">
        <fgColor rgb="FFFBF8F3"/>
        <bgColor indexed="64"/>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5" fillId="0" borderId="0" xfId="0" applyFont="1"/>
    <xf numFmtId="164" fontId="5" fillId="0" borderId="0" xfId="0" applyNumberFormat="1" applyFont="1" applyAlignment="1">
      <alignment horizontal="center"/>
    </xf>
    <xf numFmtId="1" fontId="5" fillId="0" borderId="0" xfId="0" applyNumberFormat="1" applyFont="1" applyAlignment="1">
      <alignment horizontal="center"/>
    </xf>
    <xf numFmtId="0" fontId="1" fillId="0" borderId="0" xfId="0" applyFont="1" applyAlignment="1">
      <alignment vertical="top" wrapText="1"/>
    </xf>
    <xf numFmtId="0" fontId="6" fillId="0" borderId="0" xfId="0" applyFont="1" applyAlignment="1">
      <alignment vertical="top" wrapText="1"/>
    </xf>
    <xf numFmtId="0" fontId="1" fillId="0" borderId="0" xfId="0" applyFont="1" applyAlignment="1">
      <alignment vertical="top" wrapText="1"/>
    </xf>
    <xf numFmtId="0" fontId="5" fillId="0" borderId="0" xfId="0" applyFont="1" applyAlignment="1">
      <alignment vertical="top" wrapText="1"/>
    </xf>
    <xf numFmtId="14" fontId="1" fillId="0" borderId="0" xfId="0" applyNumberFormat="1" applyFont="1" applyAlignment="1">
      <alignment horizontal="left" vertical="top"/>
    </xf>
    <xf numFmtId="164" fontId="8" fillId="0" borderId="0" xfId="0" applyNumberFormat="1" applyFont="1" applyAlignment="1">
      <alignment horizontal="center" vertical="top"/>
    </xf>
    <xf numFmtId="0" fontId="7" fillId="2" borderId="0" xfId="0" applyFont="1" applyFill="1" applyAlignment="1">
      <alignment horizontal="left" vertical="center"/>
    </xf>
    <xf numFmtId="0" fontId="7" fillId="2" borderId="0" xfId="0" applyFont="1" applyFill="1" applyAlignment="1">
      <alignment horizontal="center" vertical="center"/>
    </xf>
    <xf numFmtId="166" fontId="5" fillId="0" borderId="0" xfId="0" applyNumberFormat="1" applyFont="1" applyAlignment="1">
      <alignment horizontal="center"/>
    </xf>
    <xf numFmtId="0" fontId="7" fillId="2" borderId="1" xfId="0" applyFont="1" applyFill="1" applyBorder="1" applyAlignment="1">
      <alignment horizontal="center" vertical="center"/>
    </xf>
    <xf numFmtId="14" fontId="8" fillId="0" borderId="1" xfId="0" applyNumberFormat="1" applyFont="1" applyBorder="1" applyAlignment="1">
      <alignment horizontal="center"/>
    </xf>
    <xf numFmtId="14" fontId="1" fillId="0" borderId="1" xfId="0" applyNumberFormat="1" applyFont="1" applyBorder="1" applyAlignment="1">
      <alignment horizontal="center"/>
    </xf>
    <xf numFmtId="165" fontId="1" fillId="0" borderId="1" xfId="0" applyNumberFormat="1" applyFont="1" applyBorder="1" applyAlignment="1">
      <alignment horizontal="center"/>
    </xf>
    <xf numFmtId="166" fontId="1" fillId="0" borderId="1" xfId="0" applyNumberFormat="1" applyFont="1" applyBorder="1" applyAlignment="1">
      <alignment horizontal="center"/>
    </xf>
    <xf numFmtId="14" fontId="1" fillId="3" borderId="1" xfId="0" applyNumberFormat="1" applyFont="1" applyFill="1" applyBorder="1" applyAlignment="1">
      <alignment horizontal="center"/>
    </xf>
    <xf numFmtId="165" fontId="1" fillId="3" borderId="1" xfId="0" applyNumberFormat="1" applyFont="1" applyFill="1" applyBorder="1" applyAlignment="1">
      <alignment horizontal="center"/>
    </xf>
    <xf numFmtId="166" fontId="1" fillId="3" borderId="1" xfId="0" applyNumberFormat="1" applyFont="1" applyFill="1" applyBorder="1" applyAlignment="1">
      <alignment horizontal="center"/>
    </xf>
    <xf numFmtId="14" fontId="1" fillId="3" borderId="2" xfId="0" applyNumberFormat="1" applyFont="1" applyFill="1" applyBorder="1" applyAlignment="1">
      <alignment horizontal="center"/>
    </xf>
    <xf numFmtId="165" fontId="1" fillId="3" borderId="2" xfId="0" applyNumberFormat="1" applyFont="1" applyFill="1" applyBorder="1" applyAlignment="1">
      <alignment horizontal="center"/>
    </xf>
    <xf numFmtId="166" fontId="1" fillId="3" borderId="2" xfId="0" applyNumberFormat="1" applyFont="1" applyFill="1" applyBorder="1" applyAlignment="1">
      <alignment horizontal="center"/>
    </xf>
    <xf numFmtId="0" fontId="5" fillId="0" borderId="3" xfId="0" applyFont="1" applyBorder="1" applyAlignment="1">
      <alignment horizontal="left"/>
    </xf>
    <xf numFmtId="0" fontId="5" fillId="0" borderId="3" xfId="0" applyFont="1" applyBorder="1" applyAlignment="1">
      <alignment horizontal="center"/>
    </xf>
    <xf numFmtId="165" fontId="5" fillId="0" borderId="3" xfId="0" applyNumberFormat="1" applyFont="1" applyBorder="1" applyAlignment="1">
      <alignment horizontal="center"/>
    </xf>
    <xf numFmtId="166" fontId="5" fillId="0" borderId="3" xfId="0" applyNumberFormat="1" applyFont="1" applyBorder="1" applyAlignment="1">
      <alignment horizontal="center"/>
    </xf>
  </cellXfs>
  <cellStyles count="1">
    <cellStyle name="Normale" xfId="0" builtinId="0"/>
  </cellStyles>
  <dxfs count="12">
    <dxf>
      <font>
        <b/>
        <i val="0"/>
        <color rgb="FFC00000"/>
      </font>
    </dxf>
    <dxf>
      <fill>
        <patternFill>
          <bgColor rgb="FFFFF2CC"/>
        </patternFill>
      </fill>
    </dxf>
    <dxf>
      <font>
        <b/>
        <i val="0"/>
        <strike val="0"/>
        <condense val="0"/>
        <extend val="0"/>
        <outline val="0"/>
        <shadow val="0"/>
        <u val="none"/>
        <vertAlign val="baseline"/>
        <sz val="10"/>
        <color rgb="FFFFFFFF"/>
        <name val="Arial"/>
        <family val="2"/>
        <scheme val="none"/>
      </font>
      <fill>
        <patternFill patternType="solid">
          <fgColor indexed="64"/>
          <bgColor rgb="FF1B2428"/>
        </patternFill>
      </fill>
      <alignment horizontal="left" vertical="center" textRotation="0" wrapText="0" indent="0" justifyLastLine="0" shrinkToFit="0" readingOrder="0"/>
    </dxf>
    <dxf>
      <font>
        <b val="0"/>
        <i val="0"/>
        <strike val="0"/>
        <condense val="0"/>
        <extend val="0"/>
        <outline val="0"/>
        <shadow val="0"/>
        <u val="none"/>
        <vertAlign val="baseline"/>
        <sz val="10"/>
        <color rgb="FF0000FF"/>
        <name val="Arial"/>
        <family val="2"/>
        <scheme val="none"/>
      </font>
      <numFmt numFmtId="164" formatCode="0.0"/>
      <alignment horizontal="center" vertical="top" textRotation="0" wrapText="0" indent="0" justifyLastLine="0" shrinkToFit="0" readingOrder="0"/>
    </dxf>
    <dxf>
      <font>
        <b val="0"/>
        <i val="0"/>
        <strike val="0"/>
        <condense val="0"/>
        <extend val="0"/>
        <outline val="0"/>
        <shadow val="0"/>
        <u val="none"/>
        <vertAlign val="baseline"/>
        <sz val="10"/>
        <color theme="1"/>
        <name val="Arial"/>
        <family val="2"/>
        <scheme val="none"/>
      </font>
      <alignment horizontal="general" vertical="top" textRotation="0" wrapText="1" indent="0" justifyLastLine="0" shrinkToFit="0" readingOrder="0"/>
    </dxf>
    <dxf>
      <font>
        <b/>
        <i val="0"/>
        <strike val="0"/>
        <condense val="0"/>
        <extend val="0"/>
        <outline val="0"/>
        <shadow val="0"/>
        <u val="none"/>
        <vertAlign val="baseline"/>
        <sz val="10"/>
        <color theme="1"/>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Arial"/>
        <family val="2"/>
        <scheme val="none"/>
      </font>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0"/>
        <color theme="1"/>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general" vertical="top" textRotation="0" wrapText="0" indent="0" justifyLastLine="0" shrinkToFit="0" readingOrder="0"/>
    </dxf>
    <dxf>
      <border>
        <left style="thin">
          <color rgb="FFD9CFC0"/>
        </left>
        <right style="thin">
          <color rgb="FFD9CFC0"/>
        </right>
        <top style="thin">
          <color rgb="FFD9CFC0"/>
        </top>
        <bottom style="thin">
          <color rgb="FFD9CFC0"/>
        </bottom>
        <vertical style="thin">
          <color rgb="FFD9CFC0"/>
        </vertical>
        <horizontal style="thin">
          <color rgb="FFD9CFC0"/>
        </horizontal>
      </border>
    </dxf>
    <dxf>
      <fill>
        <patternFill>
          <bgColor rgb="FFFBF8F3"/>
        </patternFill>
      </fill>
    </dxf>
    <dxf>
      <font>
        <b/>
        <i val="0"/>
        <color rgb="FFFFFFFF"/>
      </font>
      <fill>
        <patternFill>
          <bgColor rgb="FF1B2428"/>
        </patternFill>
      </fill>
    </dxf>
  </dxfs>
  <tableStyles count="1" defaultTableStyle="TableStyleMedium2" defaultPivotStyle="PivotStyleLight16">
    <tableStyle name="Libretto" pivot="0" count="3" xr9:uid="{4D784E34-38D5-4852-9B7C-8838ED6D73F1}">
      <tableStyleElement type="wholeTable" dxfId="9"/>
      <tableStyleElement type="headerRow" dxfId="11"/>
      <tableStyleElement type="first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E690B7-EC62-4BC2-A27A-E592475A3F24}" name="Registro" displayName="Registro" ref="A8:E27" totalsRowShown="0" headerRowDxfId="2" dataDxfId="8">
  <autoFilter ref="A8:E27" xr:uid="{F7E690B7-EC62-4BC2-A27A-E592475A3F24}">
    <filterColumn colId="0" hiddenButton="1"/>
    <filterColumn colId="1" hiddenButton="1"/>
    <filterColumn colId="2" hiddenButton="1"/>
    <filterColumn colId="3" hiddenButton="1"/>
    <filterColumn colId="4" hiddenButton="1"/>
  </autoFilter>
  <tableColumns count="5">
    <tableColumn id="1" xr3:uid="{586C618C-B2D4-4DF9-B7CA-43309990EE13}" name="Data" dataDxfId="6"/>
    <tableColumn id="2" xr3:uid="{25096E78-7995-48E9-AD81-04E6781C948E}" name="Attività" dataDxfId="5"/>
    <tableColumn id="3" xr3:uid="{47CC29D8-54BC-4349-A4AF-A8DBA19285A8}" name="Ore" dataDxfId="3"/>
    <tableColumn id="4" xr3:uid="{FBB4DA33-A195-4C3A-A982-31970BE0195C}" name="Descrizione" dataDxfId="4"/>
    <tableColumn id="5" xr3:uid="{9CC3C245-FBDD-4A24-9A04-CA85BD0504F4}" name="Risultato / file" dataDxfId="7"/>
  </tableColumns>
  <tableStyleInfo name="Libretto"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D8A3B-CFDB-4C72-93F2-9BAF90161ACB}">
  <sheetPr>
    <pageSetUpPr fitToPage="1"/>
  </sheetPr>
  <dimension ref="A1:E27"/>
  <sheetViews>
    <sheetView showGridLines="0" tabSelected="1" workbookViewId="0">
      <pane ySplit="8" topLeftCell="A9" activePane="bottomLeft" state="frozen"/>
      <selection pane="bottomLeft"/>
    </sheetView>
  </sheetViews>
  <sheetFormatPr defaultRowHeight="12.75" x14ac:dyDescent="0.35"/>
  <cols>
    <col min="1" max="1" width="12.59765625" style="1" customWidth="1"/>
    <col min="2" max="2" width="30.59765625" style="1" customWidth="1"/>
    <col min="3" max="3" width="8.59765625" style="1" customWidth="1"/>
    <col min="4" max="4" width="72.59765625" style="1" customWidth="1"/>
    <col min="5" max="5" width="40.59765625" style="1" customWidth="1"/>
    <col min="6" max="16384" width="9.06640625" style="1"/>
  </cols>
  <sheetData>
    <row r="1" spans="1:5" ht="26" customHeight="1" x14ac:dyDescent="0.6">
      <c r="A1" s="2" t="s">
        <v>0</v>
      </c>
    </row>
    <row r="2" spans="1:5" ht="16.899999999999999" x14ac:dyDescent="0.5">
      <c r="A2" s="3" t="s">
        <v>1</v>
      </c>
    </row>
    <row r="3" spans="1:5" x14ac:dyDescent="0.35">
      <c r="A3" s="4" t="s">
        <v>2</v>
      </c>
    </row>
    <row r="4" spans="1:5" x14ac:dyDescent="0.35">
      <c r="A4" s="4" t="s">
        <v>3</v>
      </c>
    </row>
    <row r="5" spans="1:5" ht="13.15" x14ac:dyDescent="0.4">
      <c r="B5" s="5" t="s">
        <v>4</v>
      </c>
      <c r="C5" s="7">
        <f>SUM(Registro[Ore])</f>
        <v>0</v>
      </c>
    </row>
    <row r="6" spans="1:5" ht="13.15" x14ac:dyDescent="0.4">
      <c r="B6" s="5" t="s">
        <v>5</v>
      </c>
      <c r="C6" s="8">
        <f>COUNTIFS(Registro[Attività],"&lt;&gt;",Registro[Ore],"")</f>
        <v>19</v>
      </c>
    </row>
    <row r="7" spans="1:5" ht="30" customHeight="1" x14ac:dyDescent="0.35">
      <c r="A7" s="10" t="s">
        <v>6</v>
      </c>
      <c r="B7" s="9"/>
      <c r="C7" s="9"/>
      <c r="D7" s="9"/>
      <c r="E7" s="9"/>
    </row>
    <row r="8" spans="1:5" ht="22.05" customHeight="1" x14ac:dyDescent="0.35">
      <c r="A8" s="15" t="s">
        <v>7</v>
      </c>
      <c r="B8" s="15" t="s">
        <v>8</v>
      </c>
      <c r="C8" s="16" t="s">
        <v>9</v>
      </c>
      <c r="D8" s="15" t="s">
        <v>10</v>
      </c>
      <c r="E8" s="15" t="s">
        <v>11</v>
      </c>
    </row>
    <row r="9" spans="1:5" ht="25.5" x14ac:dyDescent="0.35">
      <c r="A9" s="13">
        <v>46294</v>
      </c>
      <c r="B9" s="12" t="s">
        <v>12</v>
      </c>
      <c r="C9" s="14"/>
      <c r="D9" s="11" t="s">
        <v>13</v>
      </c>
      <c r="E9" s="11" t="s">
        <v>14</v>
      </c>
    </row>
    <row r="10" spans="1:5" ht="25.5" x14ac:dyDescent="0.35">
      <c r="A10" s="13">
        <v>46295</v>
      </c>
      <c r="B10" s="12" t="s">
        <v>15</v>
      </c>
      <c r="C10" s="14"/>
      <c r="D10" s="11" t="s">
        <v>16</v>
      </c>
      <c r="E10" s="11" t="s">
        <v>17</v>
      </c>
    </row>
    <row r="11" spans="1:5" ht="25.5" x14ac:dyDescent="0.35">
      <c r="A11" s="13">
        <v>46295</v>
      </c>
      <c r="B11" s="12" t="s">
        <v>18</v>
      </c>
      <c r="C11" s="14"/>
      <c r="D11" s="11" t="s">
        <v>19</v>
      </c>
      <c r="E11" s="11" t="s">
        <v>20</v>
      </c>
    </row>
    <row r="12" spans="1:5" ht="25.5" x14ac:dyDescent="0.35">
      <c r="A12" s="13">
        <v>46295</v>
      </c>
      <c r="B12" s="12" t="s">
        <v>21</v>
      </c>
      <c r="C12" s="14"/>
      <c r="D12" s="11" t="s">
        <v>22</v>
      </c>
      <c r="E12" s="11" t="s">
        <v>23</v>
      </c>
    </row>
    <row r="13" spans="1:5" ht="25.5" x14ac:dyDescent="0.35">
      <c r="A13" s="13">
        <v>46295</v>
      </c>
      <c r="B13" s="12" t="s">
        <v>24</v>
      </c>
      <c r="C13" s="14"/>
      <c r="D13" s="11" t="s">
        <v>25</v>
      </c>
      <c r="E13" s="11" t="s">
        <v>26</v>
      </c>
    </row>
    <row r="14" spans="1:5" ht="25.5" x14ac:dyDescent="0.35">
      <c r="A14" s="13">
        <v>46295</v>
      </c>
      <c r="B14" s="12" t="s">
        <v>27</v>
      </c>
      <c r="C14" s="14"/>
      <c r="D14" s="11" t="s">
        <v>28</v>
      </c>
      <c r="E14" s="11" t="s">
        <v>29</v>
      </c>
    </row>
    <row r="15" spans="1:5" ht="25.5" x14ac:dyDescent="0.35">
      <c r="A15" s="13">
        <v>46295</v>
      </c>
      <c r="B15" s="12" t="s">
        <v>30</v>
      </c>
      <c r="C15" s="14"/>
      <c r="D15" s="11" t="s">
        <v>31</v>
      </c>
      <c r="E15" s="11" t="s">
        <v>32</v>
      </c>
    </row>
    <row r="16" spans="1:5" ht="38.25" x14ac:dyDescent="0.35">
      <c r="A16" s="13">
        <v>46295</v>
      </c>
      <c r="B16" s="12" t="s">
        <v>33</v>
      </c>
      <c r="C16" s="14"/>
      <c r="D16" s="11" t="s">
        <v>34</v>
      </c>
      <c r="E16" s="11" t="s">
        <v>35</v>
      </c>
    </row>
    <row r="17" spans="1:5" ht="76.5" x14ac:dyDescent="0.35">
      <c r="A17" s="13">
        <v>46295</v>
      </c>
      <c r="B17" s="12" t="s">
        <v>36</v>
      </c>
      <c r="C17" s="14"/>
      <c r="D17" s="11" t="s">
        <v>37</v>
      </c>
      <c r="E17" s="11" t="s">
        <v>38</v>
      </c>
    </row>
    <row r="18" spans="1:5" ht="38.25" x14ac:dyDescent="0.35">
      <c r="A18" s="13">
        <v>46295</v>
      </c>
      <c r="B18" s="12" t="s">
        <v>39</v>
      </c>
      <c r="C18" s="14"/>
      <c r="D18" s="11" t="s">
        <v>40</v>
      </c>
      <c r="E18" s="11" t="s">
        <v>41</v>
      </c>
    </row>
    <row r="19" spans="1:5" ht="89.25" x14ac:dyDescent="0.35">
      <c r="A19" s="13">
        <v>46295</v>
      </c>
      <c r="B19" s="12" t="s">
        <v>42</v>
      </c>
      <c r="C19" s="14"/>
      <c r="D19" s="11" t="s">
        <v>43</v>
      </c>
      <c r="E19" s="11" t="s">
        <v>44</v>
      </c>
    </row>
    <row r="20" spans="1:5" ht="76.5" x14ac:dyDescent="0.35">
      <c r="A20" s="13">
        <v>46296</v>
      </c>
      <c r="B20" s="12" t="s">
        <v>45</v>
      </c>
      <c r="C20" s="14"/>
      <c r="D20" s="11" t="s">
        <v>46</v>
      </c>
      <c r="E20" s="11" t="s">
        <v>47</v>
      </c>
    </row>
    <row r="21" spans="1:5" ht="76.5" x14ac:dyDescent="0.35">
      <c r="A21" s="13">
        <v>46296</v>
      </c>
      <c r="B21" s="12" t="s">
        <v>48</v>
      </c>
      <c r="C21" s="14"/>
      <c r="D21" s="11" t="s">
        <v>49</v>
      </c>
      <c r="E21" s="11" t="s">
        <v>50</v>
      </c>
    </row>
    <row r="22" spans="1:5" ht="114.75" x14ac:dyDescent="0.35">
      <c r="A22" s="13">
        <v>46304</v>
      </c>
      <c r="B22" s="12" t="s">
        <v>51</v>
      </c>
      <c r="C22" s="14"/>
      <c r="D22" s="11" t="s">
        <v>52</v>
      </c>
      <c r="E22" s="11" t="s">
        <v>53</v>
      </c>
    </row>
    <row r="23" spans="1:5" ht="89.25" x14ac:dyDescent="0.35">
      <c r="A23" s="13">
        <v>46304</v>
      </c>
      <c r="B23" s="12" t="s">
        <v>54</v>
      </c>
      <c r="C23" s="14"/>
      <c r="D23" s="11" t="s">
        <v>55</v>
      </c>
      <c r="E23" s="11" t="s">
        <v>56</v>
      </c>
    </row>
    <row r="24" spans="1:5" ht="76.5" x14ac:dyDescent="0.35">
      <c r="A24" s="13">
        <v>46304</v>
      </c>
      <c r="B24" s="12" t="s">
        <v>57</v>
      </c>
      <c r="C24" s="14"/>
      <c r="D24" s="11" t="s">
        <v>58</v>
      </c>
      <c r="E24" s="11" t="s">
        <v>59</v>
      </c>
    </row>
    <row r="25" spans="1:5" ht="102" x14ac:dyDescent="0.35">
      <c r="A25" s="13">
        <v>46304</v>
      </c>
      <c r="B25" s="12" t="s">
        <v>60</v>
      </c>
      <c r="C25" s="14"/>
      <c r="D25" s="11" t="s">
        <v>61</v>
      </c>
      <c r="E25" s="11" t="s">
        <v>62</v>
      </c>
    </row>
    <row r="26" spans="1:5" ht="102" x14ac:dyDescent="0.35">
      <c r="A26" s="13">
        <v>46305</v>
      </c>
      <c r="B26" s="12" t="s">
        <v>63</v>
      </c>
      <c r="C26" s="14"/>
      <c r="D26" s="11" t="s">
        <v>64</v>
      </c>
      <c r="E26" s="11" t="s">
        <v>62</v>
      </c>
    </row>
    <row r="27" spans="1:5" ht="63.75" x14ac:dyDescent="0.35">
      <c r="A27" s="13">
        <v>46309</v>
      </c>
      <c r="B27" s="12" t="s">
        <v>65</v>
      </c>
      <c r="C27" s="14"/>
      <c r="D27" s="11" t="s">
        <v>66</v>
      </c>
      <c r="E27" s="11" t="s">
        <v>67</v>
      </c>
    </row>
  </sheetData>
  <mergeCells count="1">
    <mergeCell ref="A7:E7"/>
  </mergeCells>
  <conditionalFormatting sqref="C9:C27">
    <cfRule type="expression" dxfId="1" priority="1" stopIfTrue="1">
      <formula>($B9&lt;&gt;"")*($C9="")</formula>
    </cfRule>
  </conditionalFormatting>
  <dataValidations count="2">
    <dataValidation type="date" allowBlank="1" showInputMessage="1" showErrorMessage="1" errorTitle="Data non valida" error="Scrivi la data come gg/mm/aaaa, per esempio 14/10/2026." sqref="A9:A27" xr:uid="{D26B2BD8-0AFD-48FB-BBA1-B07F75408464}">
      <formula1>46023</formula1>
      <formula2>47483</formula2>
    </dataValidation>
    <dataValidation type="decimal" allowBlank="1" showInputMessage="1" showErrorMessage="1" errorTitle="Ore non valide" error="Scrivi le ore come numero tra 0 e 24 (1,5 = un'ora e mezza)." promptTitle="Ore dedicate" prompt="Numero di ore, anche decimale: 1,5 = un'ora e mezza." sqref="C9:C27" xr:uid="{04EB0103-1D9C-4DFC-8906-92996DF6DE7A}">
      <formula1>0</formula1>
      <formula2>24</formula2>
    </dataValidation>
  </dataValidations>
  <pageMargins left="0.59055118110236215" right="0.59055118110236215" top="0.75" bottom="0.75" header="0.3" footer="0.3"/>
  <pageSetup paperSize="9" scale="81" fitToHeight="0" orientation="landscape" r:id="rId1"/>
  <headerFooter>
    <oddFooter>&amp;CLibretto attività · Manuel Bulla · pag. &amp;P</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86DF-1434-4163-9413-14DE6ECC9A76}">
  <sheetPr>
    <pageSetUpPr fitToPage="1"/>
  </sheetPr>
  <dimension ref="A1:E26"/>
  <sheetViews>
    <sheetView showGridLines="0" workbookViewId="0"/>
  </sheetViews>
  <sheetFormatPr defaultRowHeight="12.75" x14ac:dyDescent="0.35"/>
  <cols>
    <col min="1" max="1" width="16.59765625" style="1" customWidth="1"/>
    <col min="2" max="2" width="14.59765625" style="1" customWidth="1"/>
    <col min="3" max="3" width="10.59765625" style="1" customWidth="1"/>
    <col min="4" max="4" width="12.59765625" style="1" customWidth="1"/>
    <col min="5" max="5" width="16.59765625" style="1" customWidth="1"/>
    <col min="6" max="16384" width="9.06640625" style="1"/>
  </cols>
  <sheetData>
    <row r="1" spans="1:5" ht="26" customHeight="1" x14ac:dyDescent="0.6">
      <c r="A1" s="2" t="s">
        <v>68</v>
      </c>
    </row>
    <row r="2" spans="1:5" ht="16.899999999999999" x14ac:dyDescent="0.5">
      <c r="A2" s="3" t="s">
        <v>1</v>
      </c>
    </row>
    <row r="3" spans="1:5" ht="42" customHeight="1" x14ac:dyDescent="0.35">
      <c r="A3" s="10" t="s">
        <v>69</v>
      </c>
      <c r="B3" s="9"/>
      <c r="C3" s="9"/>
      <c r="D3" s="9"/>
      <c r="E3" s="9"/>
    </row>
    <row r="5" spans="1:5" ht="22.05" customHeight="1" x14ac:dyDescent="0.35">
      <c r="A5" s="18" t="s">
        <v>70</v>
      </c>
      <c r="B5" s="18" t="s">
        <v>71</v>
      </c>
      <c r="C5" s="18" t="s">
        <v>72</v>
      </c>
      <c r="D5" s="18" t="s">
        <v>9</v>
      </c>
      <c r="E5" s="18" t="s">
        <v>73</v>
      </c>
    </row>
    <row r="6" spans="1:5" x14ac:dyDescent="0.35">
      <c r="A6" s="19">
        <v>46293</v>
      </c>
      <c r="B6" s="20">
        <f>A6+6</f>
        <v>46299</v>
      </c>
      <c r="C6" s="21">
        <f>COUNTIFS(Registro[Data],"&gt;="&amp;A6,Registro[Data],"&lt;="&amp;B6)</f>
        <v>13</v>
      </c>
      <c r="D6" s="22">
        <f>SUMIFS(Registro[Ore],Registro[Data],"&gt;="&amp;A6,Registro[Data],"&lt;="&amp;B6)</f>
        <v>0</v>
      </c>
      <c r="E6" s="22">
        <f>SUM(D$6:D6)</f>
        <v>0</v>
      </c>
    </row>
    <row r="7" spans="1:5" x14ac:dyDescent="0.35">
      <c r="A7" s="23">
        <f>A6+7</f>
        <v>46300</v>
      </c>
      <c r="B7" s="23">
        <f>A7+6</f>
        <v>46306</v>
      </c>
      <c r="C7" s="24">
        <f>COUNTIFS(Registro[Data],"&gt;="&amp;A7,Registro[Data],"&lt;="&amp;B7)</f>
        <v>5</v>
      </c>
      <c r="D7" s="25">
        <f>SUMIFS(Registro[Ore],Registro[Data],"&gt;="&amp;A7,Registro[Data],"&lt;="&amp;B7)</f>
        <v>0</v>
      </c>
      <c r="E7" s="25">
        <f>SUM(D$6:D7)</f>
        <v>0</v>
      </c>
    </row>
    <row r="8" spans="1:5" x14ac:dyDescent="0.35">
      <c r="A8" s="20">
        <f>A7+7</f>
        <v>46307</v>
      </c>
      <c r="B8" s="20">
        <f>A8+6</f>
        <v>46313</v>
      </c>
      <c r="C8" s="21">
        <f>COUNTIFS(Registro[Data],"&gt;="&amp;A8,Registro[Data],"&lt;="&amp;B8)</f>
        <v>1</v>
      </c>
      <c r="D8" s="22">
        <f>SUMIFS(Registro[Ore],Registro[Data],"&gt;="&amp;A8,Registro[Data],"&lt;="&amp;B8)</f>
        <v>0</v>
      </c>
      <c r="E8" s="22">
        <f>SUM(D$6:D8)</f>
        <v>0</v>
      </c>
    </row>
    <row r="9" spans="1:5" x14ac:dyDescent="0.35">
      <c r="A9" s="23">
        <f>A8+7</f>
        <v>46314</v>
      </c>
      <c r="B9" s="23">
        <f>A9+6</f>
        <v>46320</v>
      </c>
      <c r="C9" s="24">
        <f>COUNTIFS(Registro[Data],"&gt;="&amp;A9,Registro[Data],"&lt;="&amp;B9)</f>
        <v>0</v>
      </c>
      <c r="D9" s="25">
        <f>SUMIFS(Registro[Ore],Registro[Data],"&gt;="&amp;A9,Registro[Data],"&lt;="&amp;B9)</f>
        <v>0</v>
      </c>
      <c r="E9" s="25">
        <f>SUM(D$6:D9)</f>
        <v>0</v>
      </c>
    </row>
    <row r="10" spans="1:5" x14ac:dyDescent="0.35">
      <c r="A10" s="20">
        <f>A9+7</f>
        <v>46321</v>
      </c>
      <c r="B10" s="20">
        <f>A10+6</f>
        <v>46327</v>
      </c>
      <c r="C10" s="21">
        <f>COUNTIFS(Registro[Data],"&gt;="&amp;A10,Registro[Data],"&lt;="&amp;B10)</f>
        <v>0</v>
      </c>
      <c r="D10" s="22">
        <f>SUMIFS(Registro[Ore],Registro[Data],"&gt;="&amp;A10,Registro[Data],"&lt;="&amp;B10)</f>
        <v>0</v>
      </c>
      <c r="E10" s="22">
        <f>SUM(D$6:D10)</f>
        <v>0</v>
      </c>
    </row>
    <row r="11" spans="1:5" x14ac:dyDescent="0.35">
      <c r="A11" s="23">
        <f>A10+7</f>
        <v>46328</v>
      </c>
      <c r="B11" s="23">
        <f>A11+6</f>
        <v>46334</v>
      </c>
      <c r="C11" s="24">
        <f>COUNTIFS(Registro[Data],"&gt;="&amp;A11,Registro[Data],"&lt;="&amp;B11)</f>
        <v>0</v>
      </c>
      <c r="D11" s="25">
        <f>SUMIFS(Registro[Ore],Registro[Data],"&gt;="&amp;A11,Registro[Data],"&lt;="&amp;B11)</f>
        <v>0</v>
      </c>
      <c r="E11" s="25">
        <f>SUM(D$6:D11)</f>
        <v>0</v>
      </c>
    </row>
    <row r="12" spans="1:5" x14ac:dyDescent="0.35">
      <c r="A12" s="20">
        <f>A11+7</f>
        <v>46335</v>
      </c>
      <c r="B12" s="20">
        <f>A12+6</f>
        <v>46341</v>
      </c>
      <c r="C12" s="21">
        <f>COUNTIFS(Registro[Data],"&gt;="&amp;A12,Registro[Data],"&lt;="&amp;B12)</f>
        <v>0</v>
      </c>
      <c r="D12" s="22">
        <f>SUMIFS(Registro[Ore],Registro[Data],"&gt;="&amp;A12,Registro[Data],"&lt;="&amp;B12)</f>
        <v>0</v>
      </c>
      <c r="E12" s="22">
        <f>SUM(D$6:D12)</f>
        <v>0</v>
      </c>
    </row>
    <row r="13" spans="1:5" x14ac:dyDescent="0.35">
      <c r="A13" s="23">
        <f>A12+7</f>
        <v>46342</v>
      </c>
      <c r="B13" s="23">
        <f>A13+6</f>
        <v>46348</v>
      </c>
      <c r="C13" s="24">
        <f>COUNTIFS(Registro[Data],"&gt;="&amp;A13,Registro[Data],"&lt;="&amp;B13)</f>
        <v>0</v>
      </c>
      <c r="D13" s="25">
        <f>SUMIFS(Registro[Ore],Registro[Data],"&gt;="&amp;A13,Registro[Data],"&lt;="&amp;B13)</f>
        <v>0</v>
      </c>
      <c r="E13" s="25">
        <f>SUM(D$6:D13)</f>
        <v>0</v>
      </c>
    </row>
    <row r="14" spans="1:5" x14ac:dyDescent="0.35">
      <c r="A14" s="20">
        <f>A13+7</f>
        <v>46349</v>
      </c>
      <c r="B14" s="20">
        <f>A14+6</f>
        <v>46355</v>
      </c>
      <c r="C14" s="21">
        <f>COUNTIFS(Registro[Data],"&gt;="&amp;A14,Registro[Data],"&lt;="&amp;B14)</f>
        <v>0</v>
      </c>
      <c r="D14" s="22">
        <f>SUMIFS(Registro[Ore],Registro[Data],"&gt;="&amp;A14,Registro[Data],"&lt;="&amp;B14)</f>
        <v>0</v>
      </c>
      <c r="E14" s="22">
        <f>SUM(D$6:D14)</f>
        <v>0</v>
      </c>
    </row>
    <row r="15" spans="1:5" x14ac:dyDescent="0.35">
      <c r="A15" s="23">
        <f>A14+7</f>
        <v>46356</v>
      </c>
      <c r="B15" s="23">
        <f>A15+6</f>
        <v>46362</v>
      </c>
      <c r="C15" s="24">
        <f>COUNTIFS(Registro[Data],"&gt;="&amp;A15,Registro[Data],"&lt;="&amp;B15)</f>
        <v>0</v>
      </c>
      <c r="D15" s="25">
        <f>SUMIFS(Registro[Ore],Registro[Data],"&gt;="&amp;A15,Registro[Data],"&lt;="&amp;B15)</f>
        <v>0</v>
      </c>
      <c r="E15" s="25">
        <f>SUM(D$6:D15)</f>
        <v>0</v>
      </c>
    </row>
    <row r="16" spans="1:5" x14ac:dyDescent="0.35">
      <c r="A16" s="20">
        <f>A15+7</f>
        <v>46363</v>
      </c>
      <c r="B16" s="20">
        <f>A16+6</f>
        <v>46369</v>
      </c>
      <c r="C16" s="21">
        <f>COUNTIFS(Registro[Data],"&gt;="&amp;A16,Registro[Data],"&lt;="&amp;B16)</f>
        <v>0</v>
      </c>
      <c r="D16" s="22">
        <f>SUMIFS(Registro[Ore],Registro[Data],"&gt;="&amp;A16,Registro[Data],"&lt;="&amp;B16)</f>
        <v>0</v>
      </c>
      <c r="E16" s="22">
        <f>SUM(D$6:D16)</f>
        <v>0</v>
      </c>
    </row>
    <row r="17" spans="1:5" x14ac:dyDescent="0.35">
      <c r="A17" s="23">
        <f>A16+7</f>
        <v>46370</v>
      </c>
      <c r="B17" s="23">
        <f>A17+6</f>
        <v>46376</v>
      </c>
      <c r="C17" s="24">
        <f>COUNTIFS(Registro[Data],"&gt;="&amp;A17,Registro[Data],"&lt;="&amp;B17)</f>
        <v>0</v>
      </c>
      <c r="D17" s="25">
        <f>SUMIFS(Registro[Ore],Registro[Data],"&gt;="&amp;A17,Registro[Data],"&lt;="&amp;B17)</f>
        <v>0</v>
      </c>
      <c r="E17" s="25">
        <f>SUM(D$6:D17)</f>
        <v>0</v>
      </c>
    </row>
    <row r="18" spans="1:5" x14ac:dyDescent="0.35">
      <c r="A18" s="20">
        <f>A17+7</f>
        <v>46377</v>
      </c>
      <c r="B18" s="20">
        <f>A18+6</f>
        <v>46383</v>
      </c>
      <c r="C18" s="21">
        <f>COUNTIFS(Registro[Data],"&gt;="&amp;A18,Registro[Data],"&lt;="&amp;B18)</f>
        <v>0</v>
      </c>
      <c r="D18" s="22">
        <f>SUMIFS(Registro[Ore],Registro[Data],"&gt;="&amp;A18,Registro[Data],"&lt;="&amp;B18)</f>
        <v>0</v>
      </c>
      <c r="E18" s="22">
        <f>SUM(D$6:D18)</f>
        <v>0</v>
      </c>
    </row>
    <row r="19" spans="1:5" x14ac:dyDescent="0.35">
      <c r="A19" s="23">
        <f>A18+7</f>
        <v>46384</v>
      </c>
      <c r="B19" s="23">
        <f>A19+6</f>
        <v>46390</v>
      </c>
      <c r="C19" s="24">
        <f>COUNTIFS(Registro[Data],"&gt;="&amp;A19,Registro[Data],"&lt;="&amp;B19)</f>
        <v>0</v>
      </c>
      <c r="D19" s="25">
        <f>SUMIFS(Registro[Ore],Registro[Data],"&gt;="&amp;A19,Registro[Data],"&lt;="&amp;B19)</f>
        <v>0</v>
      </c>
      <c r="E19" s="25">
        <f>SUM(D$6:D19)</f>
        <v>0</v>
      </c>
    </row>
    <row r="20" spans="1:5" x14ac:dyDescent="0.35">
      <c r="A20" s="20">
        <f>A19+7</f>
        <v>46391</v>
      </c>
      <c r="B20" s="20">
        <f>A20+6</f>
        <v>46397</v>
      </c>
      <c r="C20" s="21">
        <f>COUNTIFS(Registro[Data],"&gt;="&amp;A20,Registro[Data],"&lt;="&amp;B20)</f>
        <v>0</v>
      </c>
      <c r="D20" s="22">
        <f>SUMIFS(Registro[Ore],Registro[Data],"&gt;="&amp;A20,Registro[Data],"&lt;="&amp;B20)</f>
        <v>0</v>
      </c>
      <c r="E20" s="22">
        <f>SUM(D$6:D20)</f>
        <v>0</v>
      </c>
    </row>
    <row r="21" spans="1:5" x14ac:dyDescent="0.35">
      <c r="A21" s="26">
        <f>A20+7</f>
        <v>46398</v>
      </c>
      <c r="B21" s="26">
        <f>A21+6</f>
        <v>46404</v>
      </c>
      <c r="C21" s="27">
        <f>COUNTIFS(Registro[Data],"&gt;="&amp;A21,Registro[Data],"&lt;="&amp;B21)</f>
        <v>0</v>
      </c>
      <c r="D21" s="28">
        <f>SUMIFS(Registro[Ore],Registro[Data],"&gt;="&amp;A21,Registro[Data],"&lt;="&amp;B21)</f>
        <v>0</v>
      </c>
      <c r="E21" s="28">
        <f>SUM(D$6:D21)</f>
        <v>0</v>
      </c>
    </row>
    <row r="22" spans="1:5" ht="13.15" x14ac:dyDescent="0.4">
      <c r="A22" s="29" t="s">
        <v>74</v>
      </c>
      <c r="B22" s="30"/>
      <c r="C22" s="31">
        <f>SUM(C6:C21)</f>
        <v>19</v>
      </c>
      <c r="D22" s="32">
        <f>SUM(D6:D21)</f>
        <v>0</v>
      </c>
      <c r="E22" s="30"/>
    </row>
    <row r="24" spans="1:5" ht="13.15" x14ac:dyDescent="0.4">
      <c r="A24" s="6" t="s">
        <v>75</v>
      </c>
      <c r="B24" s="6"/>
      <c r="C24" s="6"/>
      <c r="D24" s="17">
        <f>SUM(Registro[Ore])</f>
        <v>0</v>
      </c>
    </row>
    <row r="25" spans="1:5" ht="13.15" x14ac:dyDescent="0.4">
      <c r="A25" s="6" t="s">
        <v>76</v>
      </c>
      <c r="B25" s="6"/>
      <c r="C25" s="6"/>
      <c r="D25" s="17">
        <f>D24-D22</f>
        <v>0</v>
      </c>
    </row>
    <row r="26" spans="1:5" ht="42" customHeight="1" x14ac:dyDescent="0.35">
      <c r="A26" s="10" t="s">
        <v>77</v>
      </c>
      <c r="B26" s="9"/>
      <c r="C26" s="9"/>
      <c r="D26" s="9"/>
      <c r="E26" s="9"/>
    </row>
  </sheetData>
  <mergeCells count="2">
    <mergeCell ref="A3:E3"/>
    <mergeCell ref="A26:E26"/>
  </mergeCells>
  <conditionalFormatting sqref="D25">
    <cfRule type="cellIs" dxfId="0" priority="1" stopIfTrue="1" operator="notEqual">
      <formula>0</formula>
    </cfRule>
  </conditionalFormatting>
  <pageMargins left="0.7" right="0.7" top="0.75" bottom="0.75" header="0.3" footer="0.3"/>
  <pageSetup paperSize="9" orientation="portrait" r:id="rId1"/>
  <headerFooter>
    <oddFooter>&amp;CLibretto attività · Manuel Bulla · pag.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vt:i4>
      </vt:variant>
      <vt:variant>
        <vt:lpstr>Intervalli denominati</vt:lpstr>
      </vt:variant>
      <vt:variant>
        <vt:i4>1</vt:i4>
      </vt:variant>
    </vt:vector>
  </HeadingPairs>
  <TitlesOfParts>
    <vt:vector size="3" baseType="lpstr">
      <vt:lpstr>Libretto</vt:lpstr>
      <vt:lpstr>Riepilogo</vt:lpstr>
      <vt:lpstr>Libretto!Titoli_stampa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Bulla, Manuel</dc:creator>
  <cp:lastModifiedBy>Bulla, Manuel</cp:lastModifiedBy>
  <dcterms:created xsi:type="dcterms:W3CDTF">2026-10-14T11:30:07Z</dcterms:created>
  <dcterms:modified xsi:type="dcterms:W3CDTF">2026-10-14T11:30:14Z</dcterms:modified>
</cp:coreProperties>
</file>