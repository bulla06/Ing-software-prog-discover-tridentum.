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ulla\Documents\Ing-software-v1\docs\libretti\"/>
    </mc:Choice>
  </mc:AlternateContent>
  <xr:revisionPtr revIDLastSave="0" documentId="13_ncr:1_{62583DCC-03D6-4C98-91A1-A5FB4026480C}" xr6:coauthVersionLast="47" xr6:coauthVersionMax="47" xr10:uidLastSave="{00000000-0000-0000-0000-000000000000}"/>
  <bookViews>
    <workbookView xWindow="-98" yWindow="-98" windowWidth="21795" windowHeight="12975" xr2:uid="{EB300ADB-58B5-479D-B51B-E912DFEACD78}"/>
  </bookViews>
  <sheets>
    <sheet name="Libretto" sheetId="1" r:id="rId1"/>
    <sheet name="Riepilogo" sheetId="2" r:id="rId2"/>
  </sheets>
  <definedNames>
    <definedName name="_xlnm.Print_Titles" localSheetId="0">Libretto!$8:$8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4" i="2" l="1"/>
  <c r="D21" i="2"/>
  <c r="C21" i="2"/>
  <c r="B21" i="2"/>
  <c r="A21" i="2"/>
  <c r="D20" i="2"/>
  <c r="C20" i="2"/>
  <c r="B20" i="2"/>
  <c r="A20" i="2"/>
  <c r="D19" i="2"/>
  <c r="C19" i="2"/>
  <c r="B19" i="2"/>
  <c r="A19" i="2"/>
  <c r="D18" i="2"/>
  <c r="C18" i="2"/>
  <c r="B18" i="2"/>
  <c r="A18" i="2"/>
  <c r="D17" i="2"/>
  <c r="C17" i="2"/>
  <c r="B17" i="2"/>
  <c r="A17" i="2"/>
  <c r="D16" i="2"/>
  <c r="C16" i="2"/>
  <c r="B16" i="2"/>
  <c r="A16" i="2"/>
  <c r="D15" i="2"/>
  <c r="C15" i="2"/>
  <c r="B15" i="2"/>
  <c r="A15" i="2"/>
  <c r="D14" i="2"/>
  <c r="C14" i="2"/>
  <c r="B14" i="2"/>
  <c r="A14" i="2"/>
  <c r="D13" i="2"/>
  <c r="C13" i="2"/>
  <c r="B13" i="2"/>
  <c r="A13" i="2"/>
  <c r="D12" i="2"/>
  <c r="C12" i="2"/>
  <c r="B12" i="2"/>
  <c r="A12" i="2"/>
  <c r="D11" i="2"/>
  <c r="C11" i="2"/>
  <c r="B11" i="2"/>
  <c r="A11" i="2"/>
  <c r="D10" i="2"/>
  <c r="C10" i="2"/>
  <c r="B10" i="2"/>
  <c r="A10" i="2"/>
  <c r="D9" i="2"/>
  <c r="C9" i="2"/>
  <c r="B9" i="2"/>
  <c r="A9" i="2"/>
  <c r="D8" i="2"/>
  <c r="C8" i="2"/>
  <c r="B8" i="2"/>
  <c r="A8" i="2"/>
  <c r="D7" i="2"/>
  <c r="C7" i="2"/>
  <c r="B7" i="2"/>
  <c r="A7" i="2"/>
  <c r="D6" i="2"/>
  <c r="C6" i="2"/>
  <c r="B6" i="2"/>
  <c r="C6" i="1"/>
  <c r="C5" i="1"/>
  <c r="C22" i="2" l="1"/>
  <c r="E20" i="2"/>
  <c r="E13" i="2"/>
  <c r="E17" i="2"/>
  <c r="E11" i="2"/>
  <c r="E10" i="2"/>
  <c r="E7" i="2"/>
  <c r="E16" i="2"/>
  <c r="E12" i="2"/>
  <c r="E6" i="2"/>
  <c r="E9" i="2"/>
  <c r="D22" i="2"/>
  <c r="D25" i="2" s="1"/>
  <c r="E21" i="2"/>
  <c r="E18" i="2"/>
  <c r="E19" i="2"/>
  <c r="E15" i="2"/>
  <c r="E14" i="2"/>
  <c r="E8" i="2"/>
</calcChain>
</file>

<file path=xl/sharedStrings.xml><?xml version="1.0" encoding="utf-8"?>
<sst xmlns="http://schemas.openxmlformats.org/spreadsheetml/2006/main" count="123" uniqueCount="117">
  <si>
    <t>Libretto delle attività</t>
  </si>
  <si>
    <t>Manuel Bulla</t>
  </si>
  <si>
    <t>Progetto: Discover Tridentum — Trento Nascosta  ·  Corso: Ingegneria del Software · Prof. Paolo Giorgini · A.A. 2026-2027</t>
  </si>
  <si>
    <t>Team: Manuel Bulla · Marco Buffa · Pietro Crea  ·  Repository: github.com/bulla06/Ing-software-prog-test-v1</t>
  </si>
  <si>
    <t>Ore totali</t>
  </si>
  <si>
    <t>Voci senza ore</t>
  </si>
  <si>
    <t>Come si compila: scrivi una riga per ogni attività subito sotto l'ultima della tabella, i totali e il riepilogo si aggiornano da soli. Le ore vanno in decimali (1,5 = un'ora e mezza). Le celle gialle nella colonna Ore sono quelle ancora da inserire.</t>
  </si>
  <si>
    <t>Data</t>
  </si>
  <si>
    <t>Attività</t>
  </si>
  <si>
    <t>Ore</t>
  </si>
  <si>
    <t>Descrizione</t>
  </si>
  <si>
    <t>Risultato / file</t>
  </si>
  <si>
    <t>Avvio repository</t>
  </si>
  <si>
    <t>Ing-software-prog-test-v1</t>
  </si>
  <si>
    <t>Prima versione presentazione</t>
  </si>
  <si>
    <t>Nuovo design presentazione</t>
  </si>
  <si>
    <t>Organizzazione repository</t>
  </si>
  <si>
    <t>presentazioni/</t>
  </si>
  <si>
    <t>README del progetto</t>
  </si>
  <si>
    <t>README.md</t>
  </si>
  <si>
    <t>Fase 1 — Analisi del dominio</t>
  </si>
  <si>
    <t>docs/fase-1-analisi-dominio.md</t>
  </si>
  <si>
    <t>Libretti delle attività</t>
  </si>
  <si>
    <t>Fase 2 — Specifiche dei requisiti</t>
  </si>
  <si>
    <t>docs/fase-2-specifiche-requisiti.md</t>
  </si>
  <si>
    <t>Riorganizzazione secondo le convenzioni</t>
  </si>
  <si>
    <t>CONTRIBUTING.md, docs/</t>
  </si>
  <si>
    <t>Pubblicazione della riorganizzazione</t>
  </si>
  <si>
    <t>main su GitHub</t>
  </si>
  <si>
    <t>Fase 3 — Architettura e user flow</t>
  </si>
  <si>
    <t>docs/fase-3-architettura-user-flow.md</t>
  </si>
  <si>
    <t>Fase 4 — Pianificazione dello sviluppo</t>
  </si>
  <si>
    <t>docs/fase-4-pianificazione.md</t>
  </si>
  <si>
    <t>Revisione della pianificazione</t>
  </si>
  <si>
    <t>docs/fase-4-pianificazione.md, docs/fase-2-specifiche-requisiti.md</t>
  </si>
  <si>
    <t>Frontend v2 e gioco fotografico</t>
  </si>
  <si>
    <t>Frontend v2 per smartphone</t>
  </si>
  <si>
    <t>Pulizia dello spazio di lavoro</t>
  </si>
  <si>
    <t>Controllo dei requisiti della Fase 2</t>
  </si>
  <si>
    <t>docs/cose-mancanti.md</t>
  </si>
  <si>
    <t>Secondo controllo dei requisiti della Fase 2</t>
  </si>
  <si>
    <t>Libretti in Excel con conta ore</t>
  </si>
  <si>
    <t>docs/libretti/*.xlsx</t>
  </si>
  <si>
    <t>Riepilogo delle ore</t>
  </si>
  <si>
    <t>Ore e voci per settimana (da lunedì a domenica), calcolate dal foglio Libretto: qui non c'è niente da compilare. La prima settimana parte da lunedì 28/09/2026, quella in cui è nato il repository (cella in blu: si può cambiare).</t>
  </si>
  <si>
    <t>Settimana dal</t>
  </si>
  <si>
    <t>al</t>
  </si>
  <si>
    <t>Voci</t>
  </si>
  <si>
    <t>Ore cumulate</t>
  </si>
  <si>
    <t>Totale</t>
  </si>
  <si>
    <t>Ore nel Libretto</t>
  </si>
  <si>
    <t>Fuori dalle settimane elencate</t>
  </si>
  <si>
    <t>Se 'Fuori dalle settimane elencate' non è zero, ci sono voci con una data oltre l'ultima settimana: inserisci una riga sopra l'ultima settimana e copia le formule dalla riga precedente.</t>
  </si>
  <si>
    <t>Creato il repository GitHub, primo commit e collegamento al remote.</t>
  </si>
  <si>
    <t>Prima versione della presentazione (5 slide: contesto, problema, soluzione, vantaggi).</t>
  </si>
  <si>
    <t>presentazioni/presentazione-v1.pptx</t>
  </si>
  <si>
    <t>Design più pulito e testi più sintetici, con i dettagli spostati nelle note del relatore.</t>
  </si>
  <si>
    <t>presentazioni/presentazione-v2.pptx</t>
  </si>
  <si>
    <t>Creata la cartella presentazioni/ e spostati i file; integrate le modifiche dei compagni con git pull --rebase.</t>
  </si>
  <si>
    <t>README GitHub con descrizione, problema, funzionalità, stakeholder, struttura del repository e team.</t>
  </si>
  <si>
    <t>Analisi del dominio, 2 personas, Stakeholder Matrix e matrice di tracciabilità problema → bisogno → requisito.</t>
  </si>
  <si>
    <t>Creato un libretto delle attività per ogni membro del team.</t>
  </si>
  <si>
    <t>docs/libretti/</t>
  </si>
  <si>
    <t>SRS Light: 29 requisiti funzionali con MoSCoW, requisiti non funzionali con metriche e 7 casi d'uso con diagramma.</t>
  </si>
  <si>
    <t>Cartelle e nomi dei file uniformati; aggiunti .gitignore, .gitattributes e CONTRIBUTING.md; Fase 1 e Fase 2 portate alla v0.2 con storico e tracciabilità.</t>
  </si>
  <si>
    <t>Commit e push su GitHub dopo git pull --rebase per integrare le modifiche dei compagni.</t>
  </si>
  <si>
    <t>Casi d'uso in Mermaid, schermate e flusso di navigazione, user journey, architettura ad alto livello, diagrammi di sequenza e deployment; Fase 2 alla v0.3.</t>
  </si>
  <si>
    <t>Definizione dell'MVP, WBS in 11 pacchetti e 43 task (261 h), piano a sprint, roadmap con 5 milestone e matrice di 15 rischi.</t>
  </si>
  <si>
    <t>Priorità ai luoghi (ricerca, filtri e itinerari a Must) e gioco "Dov'era?" a Could, come ultimo blocco; Fase 4 v0.2 e Fase 2 v0.4.</t>
  </si>
  <si>
    <t>Nuovo frontend con mappa dei luoghi, layout desktop e nuovo stile; gioco "Dov'era?" in stile GeoGuessr con 8 foto storiche di pubblico dominio e relativi crediti.</t>
  </si>
  <si>
    <t>versioni-precedenti/frontend-v2/, versione-corrente/backend/src/db/dati/foto-gioco/</t>
  </si>
  <si>
    <t>Revisione per il telefono: anteprima dei luoghi a pannello dal basso, scheda riordinata, tappe dell'itinerario in barra fissa e aree di tocco da 44 px.</t>
  </si>
  <si>
    <t>versioni-precedenti/frontend-v2/</t>
  </si>
  <si>
    <t>Rimossa la cartella src/ rimasta dal vecchio layout, ricollegate le dipendenze e rieseguiti i test (tutti superati).</t>
  </si>
  <si>
    <t>Spazio di lavoro locale</t>
  </si>
  <si>
    <t>Verifica del sito rispetto ai requisiti della Fase 2 (codice, test, prove a 360 px e offline): Must e Should presenti, restano privacy, HTTPS e alcune eccezioni dei casi d'uso.</t>
  </si>
  <si>
    <t>Nuova verifica dopo il completamento dei punti (test, prove a 360 px, offline e con Chrome): 17 voci su 26 risultano chiuse.</t>
  </si>
  <si>
    <t>Libretti convertiti da Word a Excel, uno per membro, con colonna Ore, totali e riepilogo per settimana; aggiornati CONTRIBUTING.md e .gitattributes.</t>
  </si>
  <si>
    <t>Elenco dei compiti in Excel</t>
  </si>
  <si>
    <t>Uniti i documenti sulle cose mancanti e sulla checklist GDPR in un solo foglio Excel, con assegnatario e stato (da fare rosso, in corso giallo, fatto verde); rimossi i due file Markdown.</t>
  </si>
  <si>
    <t>docs/compiti.xlsx</t>
  </si>
  <si>
    <t>Lingua tedesca</t>
  </si>
  <si>
    <t>Aggiunto il tedesco al sito: interfaccia, informativa privacy, schede dei luoghi, itinerari, tradizioni e piatti (pacchetto di dati 004), campi nel pannello di amministrazione e test.</t>
  </si>
  <si>
    <t>versione-corrente/frontend/src/i18n/de.js, versione-corrente/backend/src/db/dati/004-traduzioni-tedesche/</t>
  </si>
  <si>
    <t>Sfondo mappa MapTiler</t>
  </si>
  <si>
    <t>Sostituito lo sfondo OpenStreetMap con lo stile MapTiler "dataviz-light" (senza negozi e bar), proposto da Marco. Chiave in .env.local, ripiego su OSM senza chiave, testi in tre lingue.</t>
  </si>
  <si>
    <t>versione-corrente/frontend/src/lib/sfondo.js, MappaLeaflet.jsx, Copertina.jsx, .env.esempio</t>
  </si>
  <si>
    <t>Pulsante vista satellitare</t>
  </si>
  <si>
    <t>Aggiunto alla mappa un pulsante per passare dalla vista normale a quella satellitare (MapTiler), ricordando la scelta; assente nel gioco "Dov'era?".</t>
  </si>
  <si>
    <t>versione-corrente/frontend/src/components/MappaLeaflet.jsx, lib/sfondo.js, stile.css, i18n</t>
  </si>
  <si>
    <t>Correzione dello schermo nero</t>
  </si>
  <si>
    <t>Aggiunto un avviso con "Ricarica la pagina" quando una pagina va in errore e il ricaricamento automatico dopo un aggiornamento del sito, così non resta più lo schermo nero.</t>
  </si>
  <si>
    <t>versione-corrente/frontend/src/components/ErroreImprevisto.jsx</t>
  </si>
  <si>
    <t>Pubblicazione del sito su Google Cloud</t>
  </si>
  <si>
    <t>Creata la macchina virtuale su Compute Engine (IP statico, firewall), installato Docker e avviato il sito con Docker Compose dal repository GitHub.</t>
  </si>
  <si>
    <t>Progetto cgd-2026-disi-ingsoftware-mabu</t>
  </si>
  <si>
    <t>Connessione sicura (HTTPS)</t>
  </si>
  <si>
    <t>Attivato il proxy Caddy con certificato Let's Encrypt su 34-154-238-197.sslip.io: HTTP rimanda a HTTPS, con HSTS e porta 3000 chiusa.</t>
  </si>
  <si>
    <t>https://34-154-238-197.sslip.io</t>
  </si>
  <si>
    <t>Archivio del frontend v3</t>
  </si>
  <si>
    <t>Copia autonoma del frontend corrente in versioni-precedenti (porta 5177, test propri, npm run dev:v3), con README e documenti aggiornati.</t>
  </si>
  <si>
    <t>versioni-precedenti/frontend-v3/, README.md, CONTRIBUTING.md, package.json</t>
  </si>
  <si>
    <t>Dominio e posta del sito</t>
  </si>
  <si>
    <t>Dominio gratuito discover-tridentum.duckdns.org con HTTPS e invio delle e-mail di conferma tramite Brevo (SMTP), provato con una mail di prova.</t>
  </si>
  <si>
    <t>https://discover-tridentum.duckdns.org</t>
  </si>
  <si>
    <t>Terzo controllo del sito e aggiornamento dei compiti</t>
  </si>
  <si>
    <t>Nuovo controllo dopo le ultime modifiche (tedesco, satellite, galleria, sito online): 4 compiti chiusi, 3 nuovi, gli altri aggiornati; corretto il Riepilogo.</t>
  </si>
  <si>
    <t>Riunione del team</t>
  </si>
  <si>
    <t>Riunione con tutto il team per fare il punto sul progetto e decidere i prossimi compiti.</t>
  </si>
  <si>
    <t>Mappa con Google Maps</t>
  </si>
  <si>
    <t>Sfondo della mappa e vista satellitare con le tessere di Google Maps (Map Tiles API): chiave su Google Cloud limitata al dominio, ripiego su OpenStreetMap, informativa privacy e regole di sicurezza aggiornate.</t>
  </si>
  <si>
    <t>versione-corrente/frontend/src/lib/sfondo.js</t>
  </si>
  <si>
    <t>Pulizia della documentazione</t>
  </si>
  <si>
    <t>Tolto il documento sulla verifica dei requisiti non funzionali, sostituito dall'elenco dei compiti, e ogni riferimento a MapTiler: la mappa usa solo Google Maps.</t>
  </si>
  <si>
    <t>Test 0.1 del riconoscimento dei luoghi (DINOv2 small)</t>
  </si>
  <si>
    <t>Scaricate le 72 foto di Marco da Drive e provato DINOv2 small a distinguere due affreschi: 72 su 72 giuste; provate anche due foto nuove.</t>
  </si>
  <si>
    <t>ai/test-0.1/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</si>
</sst>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;\-0;&quot;-&quot;"/>
    <numFmt numFmtId="166" formatCode="0.0;\-0.0;&quot;-&quot;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8"/>
      <color rgb="FF1B2428"/>
      <name val="Arial"/>
      <family val="2"/>
    </font>
    <font>
      <b/>
      <sz val="13"/>
      <color theme="1"/>
      <name val="Arial"/>
      <family val="2"/>
    </font>
    <font>
      <sz val="10"/>
      <color rgb="FF6B6B6B"/>
      <name val="Arial"/>
      <family val="2"/>
    </font>
    <font>
      <b/>
      <sz val="10"/>
      <color theme="1"/>
      <name val="Arial"/>
      <family val="2"/>
    </font>
    <font>
      <i/>
      <sz val="10"/>
      <color rgb="FF6B6B6B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428"/>
        <bgColor indexed="64"/>
      </patternFill>
    </fill>
    <fill>
      <patternFill patternType="solid">
        <fgColor rgb="FFFBF8F3"/>
        <bgColor indexed="64"/>
      </patternFill>
    </fill>
  </fills>
  <borders count="4">
    <border>
      <left/>
      <right/>
      <top/>
      <bottom/>
      <diagonal/>
    </border>
    <border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>
      <left style="thin">
        <color rgb="FFD9CFC0"/>
      </left>
      <right style="thin">
        <color rgb="FFD9CFC0"/>
      </right>
      <top style="thin">
        <color rgb="FFD9CFC0"/>
      </top>
      <bottom/>
      <diagonal/>
    </border>
    <border>
      <left style="thin">
        <color rgb="FFD9CFC0"/>
      </left>
      <right style="thin">
        <color rgb="FFD9CFC0"/>
      </right>
      <top style="thin">
        <color rgb="FF1B2428"/>
      </top>
      <bottom style="thin">
        <color rgb="FFD9CFC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14" fontId="1" fillId="0" borderId="0" xfId="0" applyNumberFormat="1" applyFont="1" applyAlignment="1">
      <alignment horizontal="left" vertical="top"/>
    </xf>
    <xf numFmtId="164" fontId="8" fillId="0" borderId="0" xfId="0" applyNumberFormat="1" applyFont="1" applyAlignment="1">
      <alignment horizontal="center" vertical="top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166" fontId="5" fillId="0" borderId="0" xfId="0" applyNumberFormat="1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4" fontId="1" fillId="3" borderId="2" xfId="0" applyNumberFormat="1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166" fontId="1" fillId="3" borderId="2" xfId="0" applyNumberFormat="1" applyFont="1" applyFill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166" fontId="5" fillId="0" borderId="3" xfId="0" applyNumberFormat="1" applyFont="1" applyBorder="1" applyAlignment="1">
      <alignment horizont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e" xfId="0" builtinId="0"/>
  </cellStyles>
  <dxfs count="12">
    <dxf>
      <font>
        <b/>
        <i val="0"/>
        <color rgb="FFC00000"/>
      </font>
    </dxf>
    <dxf>
      <fill>
        <patternFill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0.0"/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B2428"/>
        </patternFill>
      </fill>
      <alignment horizontal="left" vertical="center" textRotation="0" wrapText="0" indent="0" justifyLastLine="0" shrinkToFit="0" readingOrder="0"/>
    </dxf>
    <dxf>
      <fill>
        <patternFill>
          <bgColor rgb="FFFBF8F3"/>
        </patternFill>
      </fill>
    </dxf>
    <dxf>
      <font>
        <b/>
        <i val="0"/>
        <color rgb="FFFFFFFF"/>
      </font>
      <fill>
        <patternFill>
          <bgColor rgb="FF1B2428"/>
        </patternFill>
      </fill>
    </dxf>
    <dxf>
      <border>
        <left style="thin">
          <color rgb="FFD9CFC0"/>
        </left>
        <right style="thin">
          <color rgb="FFD9CFC0"/>
        </right>
        <top style="thin">
          <color rgb="FFD9CFC0"/>
        </top>
        <bottom style="thin">
          <color rgb="FFD9CFC0"/>
        </bottom>
        <vertical style="thin">
          <color rgb="FFD9CFC0"/>
        </vertical>
        <horizontal style="thin">
          <color rgb="FFD9CFC0"/>
        </horizontal>
      </border>
    </dxf>
  </dxfs>
  <tableStyles count="1" defaultTableStyle="TableStyleMedium2" defaultPivotStyle="PivotStyleLight16">
    <tableStyle name="Libretto" pivot="0" count="3" xr9:uid="{4D784E34-38D5-4852-9B7C-8838ED6D73F1}">
      <tableStyleElement type="wholeTable" dxfId="11"/>
      <tableStyleElement type="headerRow" dxfId="10"/>
      <tableStyleElement type="firstRowStripe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E690B7-EC62-4BC2-A27A-E592475A3F24}" name="Registro" displayName="Registro" ref="A8:E41" totalsRowShown="0" headerRowDxfId="8" dataDxfId="7">
  <autoFilter ref="A8:E41" xr:uid="{F7E690B7-EC62-4BC2-A27A-E592475A3F2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86C618C-B2D4-4DF9-B7CA-43309990EE13}" name="Data" dataDxfId="6"/>
    <tableColumn id="2" xr3:uid="{25096E78-7995-48E9-AD81-04E6781C948E}" name="Attività" dataDxfId="5"/>
    <tableColumn id="3" xr3:uid="{47CC29D8-54BC-4349-A4AF-A8DBA19285A8}" name="Ore" dataDxfId="4"/>
    <tableColumn id="4" xr3:uid="{FBB4DA33-A195-4C3A-A982-31970BE0195C}" name="Descrizione" dataDxfId="3"/>
    <tableColumn id="5" xr3:uid="{9CC3C245-FBDD-4A24-9A04-CA85BD0504F4}" name="Risultato / file" dataDxfId="2"/>
  </tableColumns>
  <tableStyleInfo name="Libretto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D8A3B-CFDB-4C72-93F2-9BAF90161ACB}">
  <sheetPr>
    <pageSetUpPr fitToPage="1"/>
  </sheetPr>
  <dimension ref="A1:E41"/>
  <sheetViews>
    <sheetView showGridLines="0" tabSelected="1" workbookViewId="0">
      <pane ySplit="8" topLeftCell="A9" activePane="bottomLeft" state="frozen"/>
      <selection pane="bottomLeft"/>
    </sheetView>
  </sheetViews>
  <sheetFormatPr defaultRowHeight="12.75" x14ac:dyDescent="0.35"/>
  <cols>
    <col min="1" max="1" width="12.59765625" style="1" customWidth="1"/>
    <col min="2" max="2" width="30.59765625" style="1" customWidth="1"/>
    <col min="3" max="3" width="8.59765625" style="1" customWidth="1"/>
    <col min="4" max="4" width="72.59765625" style="1" customWidth="1"/>
    <col min="5" max="5" width="40.59765625" style="1" customWidth="1"/>
    <col min="6" max="16384" width="9.06640625" style="1"/>
  </cols>
  <sheetData>
    <row r="1" spans="1:5" ht="26" customHeight="1" x14ac:dyDescent="0.6">
      <c r="A1" s="2" t="s">
        <v>0</v>
      </c>
    </row>
    <row r="2" spans="1:5" ht="16.899999999999999" x14ac:dyDescent="0.5">
      <c r="A2" s="3" t="s">
        <v>1</v>
      </c>
    </row>
    <row r="3" spans="1:5" x14ac:dyDescent="0.35">
      <c r="A3" s="4" t="s">
        <v>2</v>
      </c>
    </row>
    <row r="4" spans="1:5" x14ac:dyDescent="0.35">
      <c r="A4" s="4" t="s">
        <v>3</v>
      </c>
    </row>
    <row r="5" spans="1:5" ht="13.15" x14ac:dyDescent="0.4">
      <c r="B5" s="5" t="s">
        <v>4</v>
      </c>
      <c r="C5" s="7">
        <f>SUM(Registro[Ore])</f>
        <v>51.5</v>
      </c>
    </row>
    <row r="6" spans="1:5" ht="13.15" x14ac:dyDescent="0.4">
      <c r="B6" s="5" t="s">
        <v>5</v>
      </c>
      <c r="C6" s="8">
        <f>COUNTIFS(Registro[Attività],"&lt;&gt;",Registro[Ore],"")</f>
        <v>0</v>
      </c>
    </row>
    <row r="7" spans="1:5" ht="30" customHeight="1" x14ac:dyDescent="0.35">
      <c r="A7" s="31" t="s">
        <v>6</v>
      </c>
      <c r="B7" s="32"/>
      <c r="C7" s="32"/>
      <c r="D7" s="32"/>
      <c r="E7" s="32"/>
    </row>
    <row r="8" spans="1:5" ht="22.05" customHeight="1" x14ac:dyDescent="0.35">
      <c r="A8" s="13" t="s">
        <v>7</v>
      </c>
      <c r="B8" s="13" t="s">
        <v>8</v>
      </c>
      <c r="C8" s="14" t="s">
        <v>9</v>
      </c>
      <c r="D8" s="13" t="s">
        <v>10</v>
      </c>
      <c r="E8" s="13" t="s">
        <v>11</v>
      </c>
    </row>
    <row r="9" spans="1:5" ht="13.15" x14ac:dyDescent="0.35">
      <c r="A9" s="11">
        <v>46294</v>
      </c>
      <c r="B9" s="10" t="s">
        <v>12</v>
      </c>
      <c r="C9" s="12">
        <v>1</v>
      </c>
      <c r="D9" s="9" t="s">
        <v>53</v>
      </c>
      <c r="E9" s="9" t="s">
        <v>13</v>
      </c>
    </row>
    <row r="10" spans="1:5" ht="13.15" x14ac:dyDescent="0.35">
      <c r="A10" s="11">
        <v>46295</v>
      </c>
      <c r="B10" s="10" t="s">
        <v>14</v>
      </c>
      <c r="C10" s="12">
        <v>1</v>
      </c>
      <c r="D10" s="9" t="s">
        <v>54</v>
      </c>
      <c r="E10" s="9" t="s">
        <v>55</v>
      </c>
    </row>
    <row r="11" spans="1:5" ht="13.15" x14ac:dyDescent="0.35">
      <c r="A11" s="11">
        <v>46295</v>
      </c>
      <c r="B11" s="10" t="s">
        <v>15</v>
      </c>
      <c r="C11" s="12">
        <v>0.5</v>
      </c>
      <c r="D11" s="9" t="s">
        <v>56</v>
      </c>
      <c r="E11" s="9" t="s">
        <v>57</v>
      </c>
    </row>
    <row r="12" spans="1:5" ht="25.5" x14ac:dyDescent="0.35">
      <c r="A12" s="11">
        <v>46295</v>
      </c>
      <c r="B12" s="10" t="s">
        <v>16</v>
      </c>
      <c r="C12" s="12">
        <v>0.5</v>
      </c>
      <c r="D12" s="9" t="s">
        <v>58</v>
      </c>
      <c r="E12" s="9" t="s">
        <v>17</v>
      </c>
    </row>
    <row r="13" spans="1:5" ht="25.5" x14ac:dyDescent="0.35">
      <c r="A13" s="11">
        <v>46295</v>
      </c>
      <c r="B13" s="10" t="s">
        <v>18</v>
      </c>
      <c r="C13" s="12">
        <v>0.5</v>
      </c>
      <c r="D13" s="9" t="s">
        <v>59</v>
      </c>
      <c r="E13" s="9" t="s">
        <v>19</v>
      </c>
    </row>
    <row r="14" spans="1:5" ht="25.5" x14ac:dyDescent="0.35">
      <c r="A14" s="11">
        <v>46295</v>
      </c>
      <c r="B14" s="10" t="s">
        <v>20</v>
      </c>
      <c r="C14" s="12">
        <v>1.5</v>
      </c>
      <c r="D14" s="9" t="s">
        <v>60</v>
      </c>
      <c r="E14" s="9" t="s">
        <v>21</v>
      </c>
    </row>
    <row r="15" spans="1:5" ht="13.15" x14ac:dyDescent="0.35">
      <c r="A15" s="11">
        <v>46295</v>
      </c>
      <c r="B15" s="10" t="s">
        <v>22</v>
      </c>
      <c r="C15" s="12">
        <v>0.5</v>
      </c>
      <c r="D15" s="9" t="s">
        <v>61</v>
      </c>
      <c r="E15" s="9" t="s">
        <v>62</v>
      </c>
    </row>
    <row r="16" spans="1:5" ht="25.5" x14ac:dyDescent="0.35">
      <c r="A16" s="11">
        <v>46295</v>
      </c>
      <c r="B16" s="10" t="s">
        <v>23</v>
      </c>
      <c r="C16" s="12">
        <v>2.5</v>
      </c>
      <c r="D16" s="9" t="s">
        <v>63</v>
      </c>
      <c r="E16" s="9" t="s">
        <v>24</v>
      </c>
    </row>
    <row r="17" spans="1:5" ht="26.25" x14ac:dyDescent="0.35">
      <c r="A17" s="11">
        <v>46295</v>
      </c>
      <c r="B17" s="10" t="s">
        <v>25</v>
      </c>
      <c r="C17" s="12">
        <v>1</v>
      </c>
      <c r="D17" s="9" t="s">
        <v>64</v>
      </c>
      <c r="E17" s="9" t="s">
        <v>26</v>
      </c>
    </row>
    <row r="18" spans="1:5" ht="26.25" x14ac:dyDescent="0.35">
      <c r="A18" s="11">
        <v>46295</v>
      </c>
      <c r="B18" s="10" t="s">
        <v>27</v>
      </c>
      <c r="C18" s="12">
        <v>0.5</v>
      </c>
      <c r="D18" s="9" t="s">
        <v>65</v>
      </c>
      <c r="E18" s="9" t="s">
        <v>28</v>
      </c>
    </row>
    <row r="19" spans="1:5" ht="25.5" x14ac:dyDescent="0.35">
      <c r="A19" s="11">
        <v>46295</v>
      </c>
      <c r="B19" s="10" t="s">
        <v>29</v>
      </c>
      <c r="C19" s="12">
        <v>2.5</v>
      </c>
      <c r="D19" s="9" t="s">
        <v>66</v>
      </c>
      <c r="E19" s="9" t="s">
        <v>30</v>
      </c>
    </row>
    <row r="20" spans="1:5" ht="26.25" x14ac:dyDescent="0.35">
      <c r="A20" s="11">
        <v>46296</v>
      </c>
      <c r="B20" s="10" t="s">
        <v>31</v>
      </c>
      <c r="C20" s="12">
        <v>3</v>
      </c>
      <c r="D20" s="9" t="s">
        <v>67</v>
      </c>
      <c r="E20" s="9" t="s">
        <v>32</v>
      </c>
    </row>
    <row r="21" spans="1:5" ht="25.5" x14ac:dyDescent="0.35">
      <c r="A21" s="11">
        <v>46296</v>
      </c>
      <c r="B21" s="10" t="s">
        <v>33</v>
      </c>
      <c r="C21" s="12">
        <v>1</v>
      </c>
      <c r="D21" s="9" t="s">
        <v>68</v>
      </c>
      <c r="E21" s="9" t="s">
        <v>34</v>
      </c>
    </row>
    <row r="22" spans="1:5" ht="25.5" x14ac:dyDescent="0.35">
      <c r="A22" s="11">
        <v>46304</v>
      </c>
      <c r="B22" s="10" t="s">
        <v>35</v>
      </c>
      <c r="C22" s="12">
        <v>4</v>
      </c>
      <c r="D22" s="9" t="s">
        <v>69</v>
      </c>
      <c r="E22" s="9" t="s">
        <v>70</v>
      </c>
    </row>
    <row r="23" spans="1:5" ht="25.5" x14ac:dyDescent="0.35">
      <c r="A23" s="11">
        <v>46304</v>
      </c>
      <c r="B23" s="10" t="s">
        <v>36</v>
      </c>
      <c r="C23" s="12">
        <v>2</v>
      </c>
      <c r="D23" s="9" t="s">
        <v>71</v>
      </c>
      <c r="E23" s="9" t="s">
        <v>72</v>
      </c>
    </row>
    <row r="24" spans="1:5" ht="25.5" x14ac:dyDescent="0.35">
      <c r="A24" s="11">
        <v>46304</v>
      </c>
      <c r="B24" s="10" t="s">
        <v>37</v>
      </c>
      <c r="C24" s="12">
        <v>0.5</v>
      </c>
      <c r="D24" s="9" t="s">
        <v>73</v>
      </c>
      <c r="E24" s="9" t="s">
        <v>74</v>
      </c>
    </row>
    <row r="25" spans="1:5" ht="26.25" x14ac:dyDescent="0.35">
      <c r="A25" s="11">
        <v>46304</v>
      </c>
      <c r="B25" s="10" t="s">
        <v>38</v>
      </c>
      <c r="C25" s="12">
        <v>1.5</v>
      </c>
      <c r="D25" s="9" t="s">
        <v>75</v>
      </c>
      <c r="E25" s="9" t="s">
        <v>39</v>
      </c>
    </row>
    <row r="26" spans="1:5" ht="26.25" x14ac:dyDescent="0.35">
      <c r="A26" s="11">
        <v>46305</v>
      </c>
      <c r="B26" s="10" t="s">
        <v>40</v>
      </c>
      <c r="C26" s="12">
        <v>2</v>
      </c>
      <c r="D26" s="9" t="s">
        <v>76</v>
      </c>
      <c r="E26" s="9" t="s">
        <v>39</v>
      </c>
    </row>
    <row r="27" spans="1:5" ht="25.5" x14ac:dyDescent="0.35">
      <c r="A27" s="11">
        <v>46309</v>
      </c>
      <c r="B27" s="10" t="s">
        <v>41</v>
      </c>
      <c r="C27" s="12">
        <v>1</v>
      </c>
      <c r="D27" s="9" t="s">
        <v>77</v>
      </c>
      <c r="E27" s="9" t="s">
        <v>42</v>
      </c>
    </row>
    <row r="28" spans="1:5" ht="38.25" x14ac:dyDescent="0.35">
      <c r="A28" s="11">
        <v>46309</v>
      </c>
      <c r="B28" s="10" t="s">
        <v>78</v>
      </c>
      <c r="C28" s="12">
        <v>1</v>
      </c>
      <c r="D28" s="9" t="s">
        <v>79</v>
      </c>
      <c r="E28" s="9" t="s">
        <v>80</v>
      </c>
    </row>
    <row r="29" spans="1:5" ht="38.25" x14ac:dyDescent="0.35">
      <c r="A29" s="11">
        <v>46309</v>
      </c>
      <c r="B29" s="10" t="s">
        <v>81</v>
      </c>
      <c r="C29" s="12">
        <v>4</v>
      </c>
      <c r="D29" s="9" t="s">
        <v>82</v>
      </c>
      <c r="E29" s="9" t="s">
        <v>83</v>
      </c>
    </row>
    <row r="30" spans="1:5" ht="38.25" x14ac:dyDescent="0.35">
      <c r="A30" s="11">
        <v>46309</v>
      </c>
      <c r="B30" s="10" t="s">
        <v>84</v>
      </c>
      <c r="C30" s="12">
        <v>0.5</v>
      </c>
      <c r="D30" s="9" t="s">
        <v>85</v>
      </c>
      <c r="E30" s="9" t="s">
        <v>86</v>
      </c>
    </row>
    <row r="31" spans="1:5" ht="38.25" x14ac:dyDescent="0.35">
      <c r="A31" s="11">
        <v>46310</v>
      </c>
      <c r="B31" s="10" t="s">
        <v>87</v>
      </c>
      <c r="C31" s="12">
        <v>1</v>
      </c>
      <c r="D31" s="9" t="s">
        <v>88</v>
      </c>
      <c r="E31" s="9" t="s">
        <v>89</v>
      </c>
    </row>
    <row r="32" spans="1:5" ht="38.25" x14ac:dyDescent="0.35">
      <c r="A32" s="11">
        <v>46310</v>
      </c>
      <c r="B32" s="10" t="s">
        <v>90</v>
      </c>
      <c r="C32" s="12">
        <v>1.5</v>
      </c>
      <c r="D32" s="9" t="s">
        <v>91</v>
      </c>
      <c r="E32" s="9" t="s">
        <v>92</v>
      </c>
    </row>
    <row r="33" spans="1:5" ht="26.25" x14ac:dyDescent="0.35">
      <c r="A33" s="11">
        <v>46310</v>
      </c>
      <c r="B33" s="10" t="s">
        <v>93</v>
      </c>
      <c r="C33" s="12">
        <v>3</v>
      </c>
      <c r="D33" s="9" t="s">
        <v>94</v>
      </c>
      <c r="E33" s="9" t="s">
        <v>95</v>
      </c>
    </row>
    <row r="34" spans="1:5" ht="25.5" x14ac:dyDescent="0.35">
      <c r="A34" s="11">
        <v>46310</v>
      </c>
      <c r="B34" s="10" t="s">
        <v>96</v>
      </c>
      <c r="C34" s="12">
        <v>1</v>
      </c>
      <c r="D34" s="9" t="s">
        <v>97</v>
      </c>
      <c r="E34" s="9" t="s">
        <v>98</v>
      </c>
    </row>
    <row r="35" spans="1:5" ht="25.5" x14ac:dyDescent="0.35">
      <c r="A35" s="11">
        <v>46310</v>
      </c>
      <c r="B35" s="10" t="s">
        <v>99</v>
      </c>
      <c r="C35" s="12">
        <v>0.5</v>
      </c>
      <c r="D35" s="9" t="s">
        <v>100</v>
      </c>
      <c r="E35" s="9" t="s">
        <v>101</v>
      </c>
    </row>
    <row r="36" spans="1:5" ht="25.5" x14ac:dyDescent="0.35">
      <c r="A36" s="11">
        <v>46310</v>
      </c>
      <c r="B36" s="10" t="s">
        <v>102</v>
      </c>
      <c r="C36" s="12">
        <v>1.5</v>
      </c>
      <c r="D36" s="9" t="s">
        <v>103</v>
      </c>
      <c r="E36" s="9" t="s">
        <v>104</v>
      </c>
    </row>
    <row r="37" spans="1:5" ht="26.25" x14ac:dyDescent="0.35">
      <c r="A37" s="11">
        <v>46311</v>
      </c>
      <c r="B37" s="10" t="s">
        <v>105</v>
      </c>
      <c r="C37" s="12">
        <v>2.5</v>
      </c>
      <c r="D37" s="9" t="s">
        <v>106</v>
      </c>
      <c r="E37" s="9" t="s">
        <v>80</v>
      </c>
    </row>
    <row r="38" spans="1:5" ht="13.15" x14ac:dyDescent="0.35">
      <c r="A38" s="11">
        <v>46311</v>
      </c>
      <c r="B38" s="10" t="s">
        <v>107</v>
      </c>
      <c r="C38" s="12">
        <v>1</v>
      </c>
      <c r="D38" s="9" t="s">
        <v>108</v>
      </c>
      <c r="E38" s="9" t="s">
        <v>107</v>
      </c>
    </row>
    <row r="39" spans="1:5" ht="38.25" x14ac:dyDescent="0.35">
      <c r="A39" s="11">
        <v>46311</v>
      </c>
      <c r="B39" s="10" t="s">
        <v>109</v>
      </c>
      <c r="C39" s="12">
        <v>3</v>
      </c>
      <c r="D39" s="9" t="s">
        <v>110</v>
      </c>
      <c r="E39" s="9" t="s">
        <v>111</v>
      </c>
    </row>
    <row r="40" spans="1:5" ht="25.5" x14ac:dyDescent="0.35">
      <c r="A40" s="11">
        <v>46311</v>
      </c>
      <c r="B40" s="10" t="s">
        <v>112</v>
      </c>
      <c r="C40" s="12">
        <v>0.5</v>
      </c>
      <c r="D40" s="9" t="s">
        <v>113</v>
      </c>
      <c r="E40" s="9" t="s">
        <v>30</v>
      </c>
    </row>
    <row r="41" spans="1:5" ht="26.25" x14ac:dyDescent="0.35">
      <c r="A41" s="11">
        <v>46311</v>
      </c>
      <c r="B41" s="10" t="s">
        <v>114</v>
      </c>
      <c r="C41" s="12">
        <v>3.5</v>
      </c>
      <c r="D41" s="9" t="s">
        <v>115</v>
      </c>
      <c r="E41" s="9" t="s">
        <v>116</v>
      </c>
    </row>
  </sheetData>
  <mergeCells count="1">
    <mergeCell ref="A7:E7"/>
  </mergeCells>
  <conditionalFormatting sqref="C9:C41">
    <cfRule type="expression" dxfId="1" priority="1" stopIfTrue="1">
      <formula>($B9&lt;&gt;"")*($C9="")</formula>
    </cfRule>
  </conditionalFormatting>
  <dataValidations count="2">
    <dataValidation type="date" allowBlank="1" showInputMessage="1" showErrorMessage="1" errorTitle="Data non valida" error="Scrivi la data come gg/mm/aaaa, per esempio 14/10/2026." sqref="A9:A41" xr:uid="{D26B2BD8-0AFD-48FB-BBA1-B07F75408464}">
      <formula1>46023</formula1>
      <formula2>47483</formula2>
    </dataValidation>
    <dataValidation type="decimal" allowBlank="1" showInputMessage="1" showErrorMessage="1" errorTitle="Ore non valide" error="Scrivi le ore come numero tra 0 e 24 (1,5 = un'ora e mezza)." promptTitle="Ore dedicate" prompt="Numero di ore, anche decimale: 1,5 = un'ora e mezza." sqref="C9:C41" xr:uid="{04EB0103-1D9C-4DFC-8906-92996DF6DE7A}">
      <formula1>0</formula1>
      <formula2>24</formula2>
    </dataValidation>
  </dataValidations>
  <pageMargins left="0.59055118110236215" right="0.59055118110236215" top="0.75" bottom="0.75" header="0.3" footer="0.3"/>
  <pageSetup paperSize="9" scale="81" fitToHeight="0" orientation="landscape" r:id="rId1"/>
  <headerFooter>
    <oddFooter>&amp;CLibretto attività · Manuel Bulla · pag. &amp;P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986DF-1434-4163-9413-14DE6ECC9A76}">
  <sheetPr>
    <pageSetUpPr fitToPage="1"/>
  </sheetPr>
  <dimension ref="A1:E26"/>
  <sheetViews>
    <sheetView showGridLines="0" workbookViewId="0"/>
  </sheetViews>
  <sheetFormatPr defaultRowHeight="12.75" x14ac:dyDescent="0.35"/>
  <cols>
    <col min="1" max="1" width="16.59765625" style="1" customWidth="1"/>
    <col min="2" max="2" width="14.59765625" style="1" customWidth="1"/>
    <col min="3" max="3" width="10.59765625" style="1" customWidth="1"/>
    <col min="4" max="4" width="12.59765625" style="1" customWidth="1"/>
    <col min="5" max="5" width="16.59765625" style="1" customWidth="1"/>
    <col min="6" max="16384" width="9.06640625" style="1"/>
  </cols>
  <sheetData>
    <row r="1" spans="1:5" ht="26" customHeight="1" x14ac:dyDescent="0.6">
      <c r="A1" s="2" t="s">
        <v>43</v>
      </c>
    </row>
    <row r="2" spans="1:5" ht="16.899999999999999" x14ac:dyDescent="0.5">
      <c r="A2" s="3" t="s">
        <v>1</v>
      </c>
    </row>
    <row r="3" spans="1:5" ht="42" customHeight="1" x14ac:dyDescent="0.35">
      <c r="A3" s="31" t="s">
        <v>44</v>
      </c>
      <c r="B3" s="32"/>
      <c r="C3" s="32"/>
      <c r="D3" s="32"/>
      <c r="E3" s="32"/>
    </row>
    <row r="5" spans="1:5" ht="22.05" customHeight="1" x14ac:dyDescent="0.35">
      <c r="A5" s="16" t="s">
        <v>45</v>
      </c>
      <c r="B5" s="16" t="s">
        <v>46</v>
      </c>
      <c r="C5" s="16" t="s">
        <v>47</v>
      </c>
      <c r="D5" s="16" t="s">
        <v>9</v>
      </c>
      <c r="E5" s="16" t="s">
        <v>48</v>
      </c>
    </row>
    <row r="6" spans="1:5" x14ac:dyDescent="0.35">
      <c r="A6" s="17">
        <v>46293</v>
      </c>
      <c r="B6" s="18">
        <f t="shared" ref="B6:B21" si="0">A6+6</f>
        <v>46299</v>
      </c>
      <c r="C6" s="19">
        <f>COUNTIFS(Registro[Data],"&gt;="&amp;A6,Registro[Data],"&lt;="&amp;B6)</f>
        <v>13</v>
      </c>
      <c r="D6" s="20">
        <f>SUMIFS(Registro[Ore],Registro[Data],"&gt;="&amp;A6,Registro[Data],"&lt;="&amp;B6)</f>
        <v>16</v>
      </c>
      <c r="E6" s="20">
        <f>SUM(D$6:D6)</f>
        <v>16</v>
      </c>
    </row>
    <row r="7" spans="1:5" x14ac:dyDescent="0.35">
      <c r="A7" s="21">
        <f t="shared" ref="A7:A21" si="1">A6+7</f>
        <v>46300</v>
      </c>
      <c r="B7" s="21">
        <f t="shared" si="0"/>
        <v>46306</v>
      </c>
      <c r="C7" s="22">
        <f>COUNTIFS(Registro[Data],"&gt;="&amp;A7,Registro[Data],"&lt;="&amp;B7)</f>
        <v>5</v>
      </c>
      <c r="D7" s="23">
        <f>SUMIFS(Registro[Ore],Registro[Data],"&gt;="&amp;A7,Registro[Data],"&lt;="&amp;B7)</f>
        <v>10</v>
      </c>
      <c r="E7" s="23">
        <f>SUM(D$6:D7)</f>
        <v>26</v>
      </c>
    </row>
    <row r="8" spans="1:5" x14ac:dyDescent="0.35">
      <c r="A8" s="18">
        <f t="shared" si="1"/>
        <v>46307</v>
      </c>
      <c r="B8" s="18">
        <f t="shared" si="0"/>
        <v>46313</v>
      </c>
      <c r="C8" s="19">
        <f>COUNTIFS(Registro[Data],"&gt;="&amp;A8,Registro[Data],"&lt;="&amp;B8)</f>
        <v>15</v>
      </c>
      <c r="D8" s="20">
        <f>SUMIFS(Registro[Ore],Registro[Data],"&gt;="&amp;A8,Registro[Data],"&lt;="&amp;B8)</f>
        <v>25.5</v>
      </c>
      <c r="E8" s="20">
        <f>SUM(D$6:D8)</f>
        <v>51.5</v>
      </c>
    </row>
    <row r="9" spans="1:5" x14ac:dyDescent="0.35">
      <c r="A9" s="21">
        <f t="shared" si="1"/>
        <v>46314</v>
      </c>
      <c r="B9" s="21">
        <f t="shared" si="0"/>
        <v>46320</v>
      </c>
      <c r="C9" s="22">
        <f>COUNTIFS(Registro[Data],"&gt;="&amp;A9,Registro[Data],"&lt;="&amp;B9)</f>
        <v>0</v>
      </c>
      <c r="D9" s="23">
        <f>SUMIFS(Registro[Ore],Registro[Data],"&gt;="&amp;A9,Registro[Data],"&lt;="&amp;B9)</f>
        <v>0</v>
      </c>
      <c r="E9" s="23">
        <f>SUM(D$6:D9)</f>
        <v>51.5</v>
      </c>
    </row>
    <row r="10" spans="1:5" x14ac:dyDescent="0.35">
      <c r="A10" s="18">
        <f t="shared" si="1"/>
        <v>46321</v>
      </c>
      <c r="B10" s="18">
        <f t="shared" si="0"/>
        <v>46327</v>
      </c>
      <c r="C10" s="19">
        <f>COUNTIFS(Registro[Data],"&gt;="&amp;A10,Registro[Data],"&lt;="&amp;B10)</f>
        <v>0</v>
      </c>
      <c r="D10" s="20">
        <f>SUMIFS(Registro[Ore],Registro[Data],"&gt;="&amp;A10,Registro[Data],"&lt;="&amp;B10)</f>
        <v>0</v>
      </c>
      <c r="E10" s="20">
        <f>SUM(D$6:D10)</f>
        <v>51.5</v>
      </c>
    </row>
    <row r="11" spans="1:5" x14ac:dyDescent="0.35">
      <c r="A11" s="21">
        <f t="shared" si="1"/>
        <v>46328</v>
      </c>
      <c r="B11" s="21">
        <f t="shared" si="0"/>
        <v>46334</v>
      </c>
      <c r="C11" s="22">
        <f>COUNTIFS(Registro[Data],"&gt;="&amp;A11,Registro[Data],"&lt;="&amp;B11)</f>
        <v>0</v>
      </c>
      <c r="D11" s="23">
        <f>SUMIFS(Registro[Ore],Registro[Data],"&gt;="&amp;A11,Registro[Data],"&lt;="&amp;B11)</f>
        <v>0</v>
      </c>
      <c r="E11" s="23">
        <f>SUM(D$6:D11)</f>
        <v>51.5</v>
      </c>
    </row>
    <row r="12" spans="1:5" x14ac:dyDescent="0.35">
      <c r="A12" s="18">
        <f t="shared" si="1"/>
        <v>46335</v>
      </c>
      <c r="B12" s="18">
        <f t="shared" si="0"/>
        <v>46341</v>
      </c>
      <c r="C12" s="19">
        <f>COUNTIFS(Registro[Data],"&gt;="&amp;A12,Registro[Data],"&lt;="&amp;B12)</f>
        <v>0</v>
      </c>
      <c r="D12" s="20">
        <f>SUMIFS(Registro[Ore],Registro[Data],"&gt;="&amp;A12,Registro[Data],"&lt;="&amp;B12)</f>
        <v>0</v>
      </c>
      <c r="E12" s="20">
        <f>SUM(D$6:D12)</f>
        <v>51.5</v>
      </c>
    </row>
    <row r="13" spans="1:5" x14ac:dyDescent="0.35">
      <c r="A13" s="21">
        <f t="shared" si="1"/>
        <v>46342</v>
      </c>
      <c r="B13" s="21">
        <f t="shared" si="0"/>
        <v>46348</v>
      </c>
      <c r="C13" s="22">
        <f>COUNTIFS(Registro[Data],"&gt;="&amp;A13,Registro[Data],"&lt;="&amp;B13)</f>
        <v>0</v>
      </c>
      <c r="D13" s="23">
        <f>SUMIFS(Registro[Ore],Registro[Data],"&gt;="&amp;A13,Registro[Data],"&lt;="&amp;B13)</f>
        <v>0</v>
      </c>
      <c r="E13" s="23">
        <f>SUM(D$6:D13)</f>
        <v>51.5</v>
      </c>
    </row>
    <row r="14" spans="1:5" x14ac:dyDescent="0.35">
      <c r="A14" s="18">
        <f t="shared" si="1"/>
        <v>46349</v>
      </c>
      <c r="B14" s="18">
        <f t="shared" si="0"/>
        <v>46355</v>
      </c>
      <c r="C14" s="19">
        <f>COUNTIFS(Registro[Data],"&gt;="&amp;A14,Registro[Data],"&lt;="&amp;B14)</f>
        <v>0</v>
      </c>
      <c r="D14" s="20">
        <f>SUMIFS(Registro[Ore],Registro[Data],"&gt;="&amp;A14,Registro[Data],"&lt;="&amp;B14)</f>
        <v>0</v>
      </c>
      <c r="E14" s="20">
        <f>SUM(D$6:D14)</f>
        <v>51.5</v>
      </c>
    </row>
    <row r="15" spans="1:5" x14ac:dyDescent="0.35">
      <c r="A15" s="21">
        <f t="shared" si="1"/>
        <v>46356</v>
      </c>
      <c r="B15" s="21">
        <f t="shared" si="0"/>
        <v>46362</v>
      </c>
      <c r="C15" s="22">
        <f>COUNTIFS(Registro[Data],"&gt;="&amp;A15,Registro[Data],"&lt;="&amp;B15)</f>
        <v>0</v>
      </c>
      <c r="D15" s="23">
        <f>SUMIFS(Registro[Ore],Registro[Data],"&gt;="&amp;A15,Registro[Data],"&lt;="&amp;B15)</f>
        <v>0</v>
      </c>
      <c r="E15" s="23">
        <f>SUM(D$6:D15)</f>
        <v>51.5</v>
      </c>
    </row>
    <row r="16" spans="1:5" x14ac:dyDescent="0.35">
      <c r="A16" s="18">
        <f t="shared" si="1"/>
        <v>46363</v>
      </c>
      <c r="B16" s="18">
        <f t="shared" si="0"/>
        <v>46369</v>
      </c>
      <c r="C16" s="19">
        <f>COUNTIFS(Registro[Data],"&gt;="&amp;A16,Registro[Data],"&lt;="&amp;B16)</f>
        <v>0</v>
      </c>
      <c r="D16" s="20">
        <f>SUMIFS(Registro[Ore],Registro[Data],"&gt;="&amp;A16,Registro[Data],"&lt;="&amp;B16)</f>
        <v>0</v>
      </c>
      <c r="E16" s="20">
        <f>SUM(D$6:D16)</f>
        <v>51.5</v>
      </c>
    </row>
    <row r="17" spans="1:5" x14ac:dyDescent="0.35">
      <c r="A17" s="21">
        <f t="shared" si="1"/>
        <v>46370</v>
      </c>
      <c r="B17" s="21">
        <f t="shared" si="0"/>
        <v>46376</v>
      </c>
      <c r="C17" s="22">
        <f>COUNTIFS(Registro[Data],"&gt;="&amp;A17,Registro[Data],"&lt;="&amp;B17)</f>
        <v>0</v>
      </c>
      <c r="D17" s="23">
        <f>SUMIFS(Registro[Ore],Registro[Data],"&gt;="&amp;A17,Registro[Data],"&lt;="&amp;B17)</f>
        <v>0</v>
      </c>
      <c r="E17" s="23">
        <f>SUM(D$6:D17)</f>
        <v>51.5</v>
      </c>
    </row>
    <row r="18" spans="1:5" x14ac:dyDescent="0.35">
      <c r="A18" s="18">
        <f t="shared" si="1"/>
        <v>46377</v>
      </c>
      <c r="B18" s="18">
        <f t="shared" si="0"/>
        <v>46383</v>
      </c>
      <c r="C18" s="19">
        <f>COUNTIFS(Registro[Data],"&gt;="&amp;A18,Registro[Data],"&lt;="&amp;B18)</f>
        <v>0</v>
      </c>
      <c r="D18" s="20">
        <f>SUMIFS(Registro[Ore],Registro[Data],"&gt;="&amp;A18,Registro[Data],"&lt;="&amp;B18)</f>
        <v>0</v>
      </c>
      <c r="E18" s="20">
        <f>SUM(D$6:D18)</f>
        <v>51.5</v>
      </c>
    </row>
    <row r="19" spans="1:5" x14ac:dyDescent="0.35">
      <c r="A19" s="21">
        <f t="shared" si="1"/>
        <v>46384</v>
      </c>
      <c r="B19" s="21">
        <f t="shared" si="0"/>
        <v>46390</v>
      </c>
      <c r="C19" s="22">
        <f>COUNTIFS(Registro[Data],"&gt;="&amp;A19,Registro[Data],"&lt;="&amp;B19)</f>
        <v>0</v>
      </c>
      <c r="D19" s="23">
        <f>SUMIFS(Registro[Ore],Registro[Data],"&gt;="&amp;A19,Registro[Data],"&lt;="&amp;B19)</f>
        <v>0</v>
      </c>
      <c r="E19" s="23">
        <f>SUM(D$6:D19)</f>
        <v>51.5</v>
      </c>
    </row>
    <row r="20" spans="1:5" x14ac:dyDescent="0.35">
      <c r="A20" s="18">
        <f t="shared" si="1"/>
        <v>46391</v>
      </c>
      <c r="B20" s="18">
        <f t="shared" si="0"/>
        <v>46397</v>
      </c>
      <c r="C20" s="19">
        <f>COUNTIFS(Registro[Data],"&gt;="&amp;A20,Registro[Data],"&lt;="&amp;B20)</f>
        <v>0</v>
      </c>
      <c r="D20" s="20">
        <f>SUMIFS(Registro[Ore],Registro[Data],"&gt;="&amp;A20,Registro[Data],"&lt;="&amp;B20)</f>
        <v>0</v>
      </c>
      <c r="E20" s="20">
        <f>SUM(D$6:D20)</f>
        <v>51.5</v>
      </c>
    </row>
    <row r="21" spans="1:5" x14ac:dyDescent="0.35">
      <c r="A21" s="24">
        <f t="shared" si="1"/>
        <v>46398</v>
      </c>
      <c r="B21" s="24">
        <f t="shared" si="0"/>
        <v>46404</v>
      </c>
      <c r="C21" s="25">
        <f>COUNTIFS(Registro[Data],"&gt;="&amp;A21,Registro[Data],"&lt;="&amp;B21)</f>
        <v>0</v>
      </c>
      <c r="D21" s="26">
        <f>SUMIFS(Registro[Ore],Registro[Data],"&gt;="&amp;A21,Registro[Data],"&lt;="&amp;B21)</f>
        <v>0</v>
      </c>
      <c r="E21" s="26">
        <f>SUM(D$6:D21)</f>
        <v>51.5</v>
      </c>
    </row>
    <row r="22" spans="1:5" ht="13.15" x14ac:dyDescent="0.4">
      <c r="A22" s="27" t="s">
        <v>49</v>
      </c>
      <c r="B22" s="28"/>
      <c r="C22" s="29">
        <f>SUM(C6:C21)</f>
        <v>33</v>
      </c>
      <c r="D22" s="30">
        <f>SUM(D6:D21)</f>
        <v>51.5</v>
      </c>
      <c r="E22" s="28"/>
    </row>
    <row r="24" spans="1:5" ht="13.15" x14ac:dyDescent="0.4">
      <c r="A24" s="6" t="s">
        <v>50</v>
      </c>
      <c r="B24" s="6"/>
      <c r="C24" s="6"/>
      <c r="D24" s="15">
        <f>SUM(Registro[Ore])</f>
        <v>51.5</v>
      </c>
    </row>
    <row r="25" spans="1:5" ht="13.15" x14ac:dyDescent="0.4">
      <c r="A25" s="6" t="s">
        <v>51</v>
      </c>
      <c r="B25" s="6"/>
      <c r="C25" s="6"/>
      <c r="D25" s="15">
        <f>D24-D22</f>
        <v>0</v>
      </c>
    </row>
    <row r="26" spans="1:5" ht="42" customHeight="1" x14ac:dyDescent="0.35">
      <c r="A26" s="31" t="s">
        <v>52</v>
      </c>
      <c r="B26" s="32"/>
      <c r="C26" s="32"/>
      <c r="D26" s="32"/>
      <c r="E26" s="32"/>
    </row>
  </sheetData>
  <mergeCells count="2">
    <mergeCell ref="A3:E3"/>
    <mergeCell ref="A26:E26"/>
  </mergeCells>
  <conditionalFormatting sqref="D25">
    <cfRule type="cellIs" dxfId="0" priority="1" stopIfTrue="1" operator="notEqual">
      <formula>0</formula>
    </cfRule>
  </conditionalFormatting>
  <pageMargins left="0.7" right="0.7" top="0.75" bottom="0.75" header="0.3" footer="0.3"/>
  <pageSetup paperSize="9" orientation="portrait" r:id="rId1"/>
  <headerFooter>
    <oddFooter>&amp;CLibretto attività · Manuel Bulla · pag.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Libretto</vt:lpstr>
      <vt:lpstr>Riepilogo</vt:lpstr>
      <vt:lpstr>Libretto!Titoli_stampa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Bulla, Manuel</dc:creator>
  <cp:lastModifiedBy>Bulla, Manuel</cp:lastModifiedBy>
  <dcterms:created xsi:type="dcterms:W3CDTF">2026-10-14T11:30:07Z</dcterms:created>
  <dcterms:modified xsi:type="dcterms:W3CDTF">2026-10-16T13:16:38Z</dcterms:modified>
</cp:coreProperties>
</file>