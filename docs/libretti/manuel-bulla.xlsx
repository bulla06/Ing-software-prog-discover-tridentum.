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A3CC7581-C183-4E7F-9F95-70A02EB201EE}" xr6:coauthVersionLast="47" xr6:coauthVersionMax="47" xr10:uidLastSave="{00000000-0000-0000-0000-000000000000}"/>
  <bookViews>
    <workbookView xWindow="-98" yWindow="-98" windowWidth="21795" windowHeight="12975" xr2:uid="{EB300ADB-58B5-479D-B51B-E912DFEACD78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2" l="1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C6" i="1"/>
  <c r="C5" i="1"/>
  <c r="C22" i="2" l="1"/>
  <c r="E20" i="2"/>
  <c r="E13" i="2"/>
  <c r="E17" i="2"/>
  <c r="E11" i="2"/>
  <c r="E10" i="2"/>
  <c r="E7" i="2"/>
  <c r="E16" i="2"/>
  <c r="E12" i="2"/>
  <c r="E6" i="2"/>
  <c r="E9" i="2"/>
  <c r="D22" i="2"/>
  <c r="D25" i="2" s="1"/>
  <c r="E21" i="2"/>
  <c r="E18" i="2"/>
  <c r="E19" i="2"/>
  <c r="E15" i="2"/>
  <c r="E14" i="2"/>
  <c r="E8" i="2"/>
</calcChain>
</file>

<file path=xl/sharedStrings.xml><?xml version="1.0" encoding="utf-8"?>
<sst xmlns="http://schemas.openxmlformats.org/spreadsheetml/2006/main" count="126" uniqueCount="120">
  <si>
    <t>Libretto delle attività</t>
  </si>
  <si>
    <t>Manuel Bulla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</si>
  <si>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</si>
  <si>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</si>
  <si>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</si>
  <si>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</si>
  <si>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</si>
  <si>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</si>
  <si>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</si>
  <si>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</si>
  <si>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</si>
  <si>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</si>
  <si>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Avvio repository</t>
  </si>
  <si>
    <t>Ing-software-prog-test-v1</t>
  </si>
  <si>
    <t>Prima versione presentazione</t>
  </si>
  <si>
    <t>Nuovo design presentazione</t>
  </si>
  <si>
    <t>Organizzazione repository</t>
  </si>
  <si>
    <t>presentazioni/</t>
  </si>
  <si>
    <t>README del progetto</t>
  </si>
  <si>
    <t>README.md</t>
  </si>
  <si>
    <t>Fase 1 — Analisi del dominio</t>
  </si>
  <si>
    <t>docs/fase-1-analisi-dominio.md</t>
  </si>
  <si>
    <t>Libretti delle attività</t>
  </si>
  <si>
    <t>Fase 2 — Specifiche dei requisiti</t>
  </si>
  <si>
    <t>docs/fase-2-specifiche-requisiti.md</t>
  </si>
  <si>
    <t>Riorganizzazione secondo le convenzioni</t>
  </si>
  <si>
    <t>CONTRIBUTING.md, docs/</t>
  </si>
  <si>
    <t>Pubblicazione della riorganizzazione</t>
  </si>
  <si>
    <t>main su GitHub</t>
  </si>
  <si>
    <t>Fase 3 — Architettura e user flow</t>
  </si>
  <si>
    <t>docs/fase-3-architettura-user-flow.md</t>
  </si>
  <si>
    <t>Fase 4 — Pianificazione dello sviluppo</t>
  </si>
  <si>
    <t>docs/fase-4-pianificazione.md</t>
  </si>
  <si>
    <t>Revisione della pianificazione</t>
  </si>
  <si>
    <t>docs/fase-4-pianificazione.md, docs/fase-2-specifiche-requisiti.md</t>
  </si>
  <si>
    <t>Frontend v2 e gioco fotografico</t>
  </si>
  <si>
    <t>Frontend v2 per smartphone</t>
  </si>
  <si>
    <t>Pulizia dello spazio di lavoro</t>
  </si>
  <si>
    <t>Controllo dei requisiti della Fase 2</t>
  </si>
  <si>
    <t>docs/cose-mancanti.md</t>
  </si>
  <si>
    <t>Secondo controllo dei requisiti della Fase 2</t>
  </si>
  <si>
    <t>Libretti in Excel con conta ore</t>
  </si>
  <si>
    <t>docs/libretti/*.xlsx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</si>
  <si>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</si>
  <si>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</si>
  <si>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</si>
  <si>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</si>
  <si>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</si>
  <si>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</si>
  <si>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</si>
  <si>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</si>
  <si>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</si>
  <si>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</si>
  <si>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Creato il repository GitHub, primo commit e collegamento al remote.</t>
  </si>
  <si>
    <t>Prima versione della presentazione (5 slide: contesto, problema, soluzione, vantaggi).</t>
  </si>
  <si>
    <t>presentazioni/presentazione-v1.pptx</t>
  </si>
  <si>
    <t>Design più pulito e testi più sintetici, con i dettagli spostati nelle note del relatore.</t>
  </si>
  <si>
    <t>presentazioni/presentazione-v2.pptx</t>
  </si>
  <si>
    <t>Creata la cartella presentazioni/ e spostati i file; integrate le modifiche dei compagni con git pull --rebase.</t>
  </si>
  <si>
    <t>README GitHub con descrizione, problema, funzionalità, stakeholder, struttura del repository e team.</t>
  </si>
  <si>
    <t>Analisi del dominio, 2 personas, Stakeholder Matrix e matrice di tracciabilità problema → bisogno → requisito.</t>
  </si>
  <si>
    <t>Creato un libretto delle attività per ogni membro del team.</t>
  </si>
  <si>
    <t>docs/libretti/</t>
  </si>
  <si>
    <t>SRS Light: 29 requisiti funzionali con MoSCoW, requisiti non funzionali con metriche e 7 casi d'uso con diagramma.</t>
  </si>
  <si>
    <t>Cartelle e nomi dei file uniformati; aggiunti .gitignore, .gitattributes e CONTRIBUTING.md; Fase 1 e Fase 2 portate alla v0.2 con storico e tracciabilità.</t>
  </si>
  <si>
    <t>Commit e push su GitHub dopo git pull --rebase per integrare le modifiche dei compagni.</t>
  </si>
  <si>
    <t>Casi d'uso in Mermaid, schermate e flusso di navigazione, user journey, architettura ad alto livello, diagrammi di sequenza e deployment; Fase 2 alla v0.3.</t>
  </si>
  <si>
    <t>Definizione dell'MVP, WBS in 11 pacchetti e 43 task (261 h), piano a sprint, roadmap con 5 milestone e matrice di 15 rischi.</t>
  </si>
  <si>
    <t>Priorità ai luoghi (ricerca, filtri e itinerari a Must) e gioco "Dov'era?" a Could, come ultimo blocco; Fase 4 v0.2 e Fase 2 v0.4.</t>
  </si>
  <si>
    <t>Nuovo frontend con mappa dei luoghi, layout desktop e nuovo stile; gioco "Dov'era?" in stile GeoGuessr con 8 foto storiche di pubblico dominio e relativi crediti.</t>
  </si>
  <si>
    <t>versioni-precedenti/frontend-v2/, versione-corrente/backend/src/db/dati/foto-gioco/</t>
  </si>
  <si>
    <t>Revisione per il telefono: anteprima dei luoghi a pannello dal basso, scheda riordinata, tappe dell'itinerario in barra fissa e aree di tocco da 44 px.</t>
  </si>
  <si>
    <t>versioni-precedenti/frontend-v2/</t>
  </si>
  <si>
    <t>Rimossa la cartella src/ rimasta dal vecchio layout, ricollegate le dipendenze e rieseguiti i test (tutti superati).</t>
  </si>
  <si>
    <t>Spazio di lavoro locale</t>
  </si>
  <si>
    <t>Verifica del sito rispetto ai requisiti della Fase 2 (codice, test, prove a 360 px e offline): Must e Should presenti, restano privacy, HTTPS e alcune eccezioni dei casi d'uso.</t>
  </si>
  <si>
    <t>Nuova verifica dopo il completamento dei punti (test, prove a 360 px, offline e con Chrome): 17 voci su 26 risultano chiuse.</t>
  </si>
  <si>
    <t>Libretti convertiti da Word a Excel, uno per membro, con colonna Ore, totali e riepilogo per settimana; aggiornati CONTRIBUTING.md e .gitattributes.</t>
  </si>
  <si>
    <t>Elenco dei compiti in Excel</t>
  </si>
  <si>
    <t>Uniti i documenti sulle cose mancanti e sulla checklist GDPR in un solo foglio Excel, con assegnatario e stato (da fare rosso, in corso giallo, fatto verde); rimossi i due file Markdown.</t>
  </si>
  <si>
    <t>docs/compiti.xlsx</t>
  </si>
  <si>
    <t>Lingua tedesca</t>
  </si>
  <si>
    <t>Aggiunto il tedesco al sito: interfaccia, informativa privacy, schede dei luoghi, itinerari, tradizioni e piatti (pacchetto di dati 004), campi nel pannello di amministrazione e test.</t>
  </si>
  <si>
    <t>versione-corrente/frontend/src/i18n/de.js, versione-corrente/backend/src/db/dati/004-traduzioni-tedesche/</t>
  </si>
  <si>
    <t>Sfondo mappa MapTiler</t>
  </si>
  <si>
    <t>Sostituito lo sfondo OpenStreetMap con lo stile MapTiler "dataviz-light" (senza negozi e bar), proposto da Marco. Chiave in .env.local, ripiego su OSM senza chiave, testi in tre lingue.</t>
  </si>
  <si>
    <t>versione-corrente/frontend/src/lib/sfondo.js, MappaLeaflet.jsx, Copertina.jsx, .env.esempio</t>
  </si>
  <si>
    <t>Pulsante vista satellitare</t>
  </si>
  <si>
    <t>Aggiunto alla mappa un pulsante per passare dalla vista normale a quella satellitare (MapTiler), ricordando la scelta; assente nel gioco "Dov'era?".</t>
  </si>
  <si>
    <t>versione-corrente/frontend/src/components/MappaLeaflet.jsx, lib/sfondo.js, stile.css, i18n</t>
  </si>
  <si>
    <t>Correzione dello schermo nero</t>
  </si>
  <si>
    <t>Aggiunto un avviso con "Ricarica la pagina" quando una pagina va in errore e il ricaricamento automatico dopo un aggiornamento del sito, così non resta più lo schermo nero.</t>
  </si>
  <si>
    <t>versione-corrente/frontend/src/components/ErroreImprevisto.jsx</t>
  </si>
  <si>
    <t>Pubblicazione del sito su Google Cloud</t>
  </si>
  <si>
    <t>Creata la macchina virtuale su Compute Engine (IP statico, firewall), installato Docker e avviato il sito con Docker Compose dal repository GitHub.</t>
  </si>
  <si>
    <t>Progetto cgd-2026-disi-ingsoftware-mabu</t>
  </si>
  <si>
    <t>Connessione sicura (HTTPS)</t>
  </si>
  <si>
    <t>Attivato il proxy Caddy con certificato Let's Encrypt su 34-154-238-197.sslip.io: HTTP rimanda a HTTPS, con HSTS e porta 3000 chiusa.</t>
  </si>
  <si>
    <t>https://34-154-238-197.sslip.io</t>
  </si>
  <si>
    <t>Archivio del frontend v3</t>
  </si>
  <si>
    <t>Copia autonoma del frontend corrente in versioni-precedenti (porta 5177, test propri, npm run dev:v3), con README e documenti aggiornati.</t>
  </si>
  <si>
    <t>versioni-precedenti/frontend-v3/, README.md, CONTRIBUTING.md, package.json</t>
  </si>
  <si>
    <t>Dominio e posta del sito</t>
  </si>
  <si>
    <t>Dominio gratuito discover-tridentum.duckdns.org con HTTPS e invio delle e-mail di conferma tramite Brevo (SMTP), provato con una mail di prova.</t>
  </si>
  <si>
    <t>https://discover-tridentum.duckdns.org</t>
  </si>
  <si>
    <t>Terzo controllo del sito e aggiornamento dei compiti</t>
  </si>
  <si>
    <t>Nuovo controllo dopo le ultime modifiche (tedesco, satellite, galleria, sito online): 4 compiti chiusi, 3 nuovi, gli altri aggiornati; corretto il Riepilogo.</t>
  </si>
  <si>
    <t>Riunione del team</t>
  </si>
  <si>
    <t>Riunione con tutto il team per fare il punto sul progetto e decidere i prossimi compiti.</t>
  </si>
  <si>
    <t>Mappa con Google Maps</t>
  </si>
  <si>
    <t>Sfondo della mappa e vista satellitare con le tessere di Google Maps (Map Tiles API): chiave su Google Cloud limitata al dominio, ripiego su OpenStreetMap, informativa privacy e regole di sicurezza aggiornate.</t>
  </si>
  <si>
    <t>versione-corrente/frontend/src/lib/sfondo.js</t>
  </si>
  <si>
    <t>Pulizia della documentazione</t>
  </si>
  <si>
    <t>Tolto il documento sulla verifica dei requisiti non funzionali, sostituito dall'elenco dei compiti, e ogni riferimento a MapTiler: la mappa usa solo Google Maps.</t>
  </si>
  <si>
    <t>Test 0.1 del riconoscimento dei luoghi (DINOv2 small)</t>
  </si>
  <si>
    <t>Scaricate le 72 foto di Marco da Drive e provato DINOv2 small a distinguere due affreschi: 72 su 72 giuste; provate anche due foto nuove.</t>
  </si>
  <si>
    <t>ai/test-0.1/</t>
  </si>
  <si>
    <t>Spot da 30 secondi del sito</t>
  </si>
  <si>
    <t>Spot animato di 30 secondi con schermate del sito, foto d'epoca e musica originale, registrato in WebM con uno script.</t>
  </si>
  <si>
    <t>presentazioni/ad-30s/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</si>
</sst>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</dxfs>
  <tableStyles count="1" defaultTableStyle="TableStyleMedium2" defaultPivotStyle="PivotStyleLight16">
    <tableStyle name="Libretto" pivot="0" count="3" xr9:uid="{4D784E34-38D5-4852-9B7C-8838ED6D73F1}">
      <tableStyleElement type="wholeTable" dxfId="11"/>
      <tableStyleElement type="headerRow" dxfId="10"/>
      <tableStyleElement type="first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690B7-EC62-4BC2-A27A-E592475A3F24}" name="Registro" displayName="Registro" ref="A8:E42" totalsRowShown="0" headerRowDxfId="8" dataDxfId="7">
  <autoFilter ref="A8:E42" xr:uid="{F7E690B7-EC62-4BC2-A27A-E592475A3F2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86C618C-B2D4-4DF9-B7CA-43309990EE13}" name="Data" dataDxfId="6"/>
    <tableColumn id="2" xr3:uid="{25096E78-7995-48E9-AD81-04E6781C948E}" name="Attività" dataDxfId="5"/>
    <tableColumn id="3" xr3:uid="{47CC29D8-54BC-4349-A4AF-A8DBA19285A8}" name="Ore" dataDxfId="4"/>
    <tableColumn id="4" xr3:uid="{FBB4DA33-A195-4C3A-A982-31970BE0195C}" name="Descrizione" dataDxfId="3"/>
    <tableColumn id="5" xr3:uid="{9CC3C245-FBDD-4A24-9A04-CA85BD0504F4}" name="Risultato / file" dataDxfId="2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8A3B-CFDB-4C72-93F2-9BAF90161ACB}">
  <sheetPr>
    <pageSetUpPr fitToPage="1"/>
  </sheetPr>
  <dimension ref="A1:E42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54.5</v>
      </c>
    </row>
    <row r="6" spans="1:5" ht="13.15" x14ac:dyDescent="0.4">
      <c r="B6" s="5" t="s">
        <v>5</v>
      </c>
      <c r="C6" s="8">
        <f>COUNTIFS(Registro[Attività],"&lt;&gt;",Registro[Ore],"")</f>
        <v>0</v>
      </c>
    </row>
    <row r="7" spans="1:5" ht="30" customHeight="1" x14ac:dyDescent="0.35">
      <c r="A7" s="31" t="s">
        <v>6</v>
      </c>
      <c r="B7" s="32"/>
      <c r="C7" s="32"/>
      <c r="D7" s="32"/>
      <c r="E7" s="32"/>
    </row>
    <row r="8" spans="1:5" ht="22.05" customHeight="1" x14ac:dyDescent="0.35">
      <c r="A8" s="13" t="s">
        <v>7</v>
      </c>
      <c r="B8" s="13" t="s">
        <v>8</v>
      </c>
      <c r="C8" s="14" t="s">
        <v>9</v>
      </c>
      <c r="D8" s="13" t="s">
        <v>10</v>
      </c>
      <c r="E8" s="13" t="s">
        <v>11</v>
      </c>
    </row>
    <row r="9" spans="1:5" ht="13.15" x14ac:dyDescent="0.35">
      <c r="A9" s="11">
        <v>46294</v>
      </c>
      <c r="B9" s="10" t="s">
        <v>12</v>
      </c>
      <c r="C9" s="12">
        <v>1</v>
      </c>
      <c r="D9" s="9" t="s">
        <v>53</v>
      </c>
      <c r="E9" s="9" t="s">
        <v>13</v>
      </c>
    </row>
    <row r="10" spans="1:5" ht="13.15" x14ac:dyDescent="0.35">
      <c r="A10" s="11">
        <v>46295</v>
      </c>
      <c r="B10" s="10" t="s">
        <v>14</v>
      </c>
      <c r="C10" s="12">
        <v>1</v>
      </c>
      <c r="D10" s="9" t="s">
        <v>54</v>
      </c>
      <c r="E10" s="9" t="s">
        <v>55</v>
      </c>
    </row>
    <row r="11" spans="1:5" ht="13.15" x14ac:dyDescent="0.35">
      <c r="A11" s="11">
        <v>46295</v>
      </c>
      <c r="B11" s="10" t="s">
        <v>15</v>
      </c>
      <c r="C11" s="12">
        <v>0.5</v>
      </c>
      <c r="D11" s="9" t="s">
        <v>56</v>
      </c>
      <c r="E11" s="9" t="s">
        <v>57</v>
      </c>
    </row>
    <row r="12" spans="1:5" ht="25.5" x14ac:dyDescent="0.35">
      <c r="A12" s="11">
        <v>46295</v>
      </c>
      <c r="B12" s="10" t="s">
        <v>16</v>
      </c>
      <c r="C12" s="12">
        <v>0.5</v>
      </c>
      <c r="D12" s="9" t="s">
        <v>58</v>
      </c>
      <c r="E12" s="9" t="s">
        <v>17</v>
      </c>
    </row>
    <row r="13" spans="1:5" ht="25.5" x14ac:dyDescent="0.35">
      <c r="A13" s="11">
        <v>46295</v>
      </c>
      <c r="B13" s="10" t="s">
        <v>18</v>
      </c>
      <c r="C13" s="12">
        <v>0.5</v>
      </c>
      <c r="D13" s="9" t="s">
        <v>59</v>
      </c>
      <c r="E13" s="9" t="s">
        <v>19</v>
      </c>
    </row>
    <row r="14" spans="1:5" ht="25.5" x14ac:dyDescent="0.35">
      <c r="A14" s="11">
        <v>46295</v>
      </c>
      <c r="B14" s="10" t="s">
        <v>20</v>
      </c>
      <c r="C14" s="12">
        <v>1.5</v>
      </c>
      <c r="D14" s="9" t="s">
        <v>60</v>
      </c>
      <c r="E14" s="9" t="s">
        <v>21</v>
      </c>
    </row>
    <row r="15" spans="1:5" ht="13.15" x14ac:dyDescent="0.35">
      <c r="A15" s="11">
        <v>46295</v>
      </c>
      <c r="B15" s="10" t="s">
        <v>22</v>
      </c>
      <c r="C15" s="12">
        <v>0.5</v>
      </c>
      <c r="D15" s="9" t="s">
        <v>61</v>
      </c>
      <c r="E15" s="9" t="s">
        <v>62</v>
      </c>
    </row>
    <row r="16" spans="1:5" ht="25.5" x14ac:dyDescent="0.35">
      <c r="A16" s="11">
        <v>46295</v>
      </c>
      <c r="B16" s="10" t="s">
        <v>23</v>
      </c>
      <c r="C16" s="12">
        <v>2.5</v>
      </c>
      <c r="D16" s="9" t="s">
        <v>63</v>
      </c>
      <c r="E16" s="9" t="s">
        <v>24</v>
      </c>
    </row>
    <row r="17" spans="1:5" ht="26.25" x14ac:dyDescent="0.35">
      <c r="A17" s="11">
        <v>46295</v>
      </c>
      <c r="B17" s="10" t="s">
        <v>25</v>
      </c>
      <c r="C17" s="12">
        <v>1</v>
      </c>
      <c r="D17" s="9" t="s">
        <v>64</v>
      </c>
      <c r="E17" s="9" t="s">
        <v>26</v>
      </c>
    </row>
    <row r="18" spans="1:5" ht="26.25" x14ac:dyDescent="0.35">
      <c r="A18" s="11">
        <v>46295</v>
      </c>
      <c r="B18" s="10" t="s">
        <v>27</v>
      </c>
      <c r="C18" s="12">
        <v>0.5</v>
      </c>
      <c r="D18" s="9" t="s">
        <v>65</v>
      </c>
      <c r="E18" s="9" t="s">
        <v>28</v>
      </c>
    </row>
    <row r="19" spans="1:5" ht="25.5" x14ac:dyDescent="0.35">
      <c r="A19" s="11">
        <v>46295</v>
      </c>
      <c r="B19" s="10" t="s">
        <v>29</v>
      </c>
      <c r="C19" s="12">
        <v>2.5</v>
      </c>
      <c r="D19" s="9" t="s">
        <v>66</v>
      </c>
      <c r="E19" s="9" t="s">
        <v>30</v>
      </c>
    </row>
    <row r="20" spans="1:5" ht="26.25" x14ac:dyDescent="0.35">
      <c r="A20" s="11">
        <v>46296</v>
      </c>
      <c r="B20" s="10" t="s">
        <v>31</v>
      </c>
      <c r="C20" s="12">
        <v>3</v>
      </c>
      <c r="D20" s="9" t="s">
        <v>67</v>
      </c>
      <c r="E20" s="9" t="s">
        <v>32</v>
      </c>
    </row>
    <row r="21" spans="1:5" ht="25.5" x14ac:dyDescent="0.35">
      <c r="A21" s="11">
        <v>46296</v>
      </c>
      <c r="B21" s="10" t="s">
        <v>33</v>
      </c>
      <c r="C21" s="12">
        <v>1</v>
      </c>
      <c r="D21" s="9" t="s">
        <v>68</v>
      </c>
      <c r="E21" s="9" t="s">
        <v>34</v>
      </c>
    </row>
    <row r="22" spans="1:5" ht="25.5" x14ac:dyDescent="0.35">
      <c r="A22" s="11">
        <v>46304</v>
      </c>
      <c r="B22" s="10" t="s">
        <v>35</v>
      </c>
      <c r="C22" s="12">
        <v>4</v>
      </c>
      <c r="D22" s="9" t="s">
        <v>69</v>
      </c>
      <c r="E22" s="9" t="s">
        <v>70</v>
      </c>
    </row>
    <row r="23" spans="1:5" ht="25.5" x14ac:dyDescent="0.35">
      <c r="A23" s="11">
        <v>46304</v>
      </c>
      <c r="B23" s="10" t="s">
        <v>36</v>
      </c>
      <c r="C23" s="12">
        <v>2</v>
      </c>
      <c r="D23" s="9" t="s">
        <v>71</v>
      </c>
      <c r="E23" s="9" t="s">
        <v>72</v>
      </c>
    </row>
    <row r="24" spans="1:5" ht="25.5" x14ac:dyDescent="0.35">
      <c r="A24" s="11">
        <v>46304</v>
      </c>
      <c r="B24" s="10" t="s">
        <v>37</v>
      </c>
      <c r="C24" s="12">
        <v>0.5</v>
      </c>
      <c r="D24" s="9" t="s">
        <v>73</v>
      </c>
      <c r="E24" s="9" t="s">
        <v>74</v>
      </c>
    </row>
    <row r="25" spans="1:5" ht="26.25" x14ac:dyDescent="0.35">
      <c r="A25" s="11">
        <v>46304</v>
      </c>
      <c r="B25" s="10" t="s">
        <v>38</v>
      </c>
      <c r="C25" s="12">
        <v>1.5</v>
      </c>
      <c r="D25" s="9" t="s">
        <v>75</v>
      </c>
      <c r="E25" s="9" t="s">
        <v>39</v>
      </c>
    </row>
    <row r="26" spans="1:5" ht="26.25" x14ac:dyDescent="0.35">
      <c r="A26" s="11">
        <v>46305</v>
      </c>
      <c r="B26" s="10" t="s">
        <v>40</v>
      </c>
      <c r="C26" s="12">
        <v>2</v>
      </c>
      <c r="D26" s="9" t="s">
        <v>76</v>
      </c>
      <c r="E26" s="9" t="s">
        <v>39</v>
      </c>
    </row>
    <row r="27" spans="1:5" ht="25.5" x14ac:dyDescent="0.35">
      <c r="A27" s="11">
        <v>46309</v>
      </c>
      <c r="B27" s="10" t="s">
        <v>41</v>
      </c>
      <c r="C27" s="12">
        <v>1</v>
      </c>
      <c r="D27" s="9" t="s">
        <v>77</v>
      </c>
      <c r="E27" s="9" t="s">
        <v>42</v>
      </c>
    </row>
    <row r="28" spans="1:5" ht="38.25" x14ac:dyDescent="0.35">
      <c r="A28" s="11">
        <v>46309</v>
      </c>
      <c r="B28" s="10" t="s">
        <v>78</v>
      </c>
      <c r="C28" s="12">
        <v>1</v>
      </c>
      <c r="D28" s="9" t="s">
        <v>79</v>
      </c>
      <c r="E28" s="9" t="s">
        <v>80</v>
      </c>
    </row>
    <row r="29" spans="1:5" ht="38.25" x14ac:dyDescent="0.35">
      <c r="A29" s="11">
        <v>46309</v>
      </c>
      <c r="B29" s="10" t="s">
        <v>81</v>
      </c>
      <c r="C29" s="12">
        <v>4</v>
      </c>
      <c r="D29" s="9" t="s">
        <v>82</v>
      </c>
      <c r="E29" s="9" t="s">
        <v>83</v>
      </c>
    </row>
    <row r="30" spans="1:5" ht="38.25" x14ac:dyDescent="0.35">
      <c r="A30" s="11">
        <v>46309</v>
      </c>
      <c r="B30" s="10" t="s">
        <v>84</v>
      </c>
      <c r="C30" s="12">
        <v>0.5</v>
      </c>
      <c r="D30" s="9" t="s">
        <v>85</v>
      </c>
      <c r="E30" s="9" t="s">
        <v>86</v>
      </c>
    </row>
    <row r="31" spans="1:5" ht="38.25" x14ac:dyDescent="0.35">
      <c r="A31" s="11">
        <v>46310</v>
      </c>
      <c r="B31" s="10" t="s">
        <v>87</v>
      </c>
      <c r="C31" s="12">
        <v>1</v>
      </c>
      <c r="D31" s="9" t="s">
        <v>88</v>
      </c>
      <c r="E31" s="9" t="s">
        <v>89</v>
      </c>
    </row>
    <row r="32" spans="1:5" ht="38.25" x14ac:dyDescent="0.35">
      <c r="A32" s="11">
        <v>46310</v>
      </c>
      <c r="B32" s="10" t="s">
        <v>90</v>
      </c>
      <c r="C32" s="12">
        <v>1.5</v>
      </c>
      <c r="D32" s="9" t="s">
        <v>91</v>
      </c>
      <c r="E32" s="9" t="s">
        <v>92</v>
      </c>
    </row>
    <row r="33" spans="1:5" ht="26.25" x14ac:dyDescent="0.35">
      <c r="A33" s="11">
        <v>46310</v>
      </c>
      <c r="B33" s="10" t="s">
        <v>93</v>
      </c>
      <c r="C33" s="12">
        <v>3</v>
      </c>
      <c r="D33" s="9" t="s">
        <v>94</v>
      </c>
      <c r="E33" s="9" t="s">
        <v>95</v>
      </c>
    </row>
    <row r="34" spans="1:5" ht="25.5" x14ac:dyDescent="0.35">
      <c r="A34" s="11">
        <v>46310</v>
      </c>
      <c r="B34" s="10" t="s">
        <v>96</v>
      </c>
      <c r="C34" s="12">
        <v>1</v>
      </c>
      <c r="D34" s="9" t="s">
        <v>97</v>
      </c>
      <c r="E34" s="9" t="s">
        <v>98</v>
      </c>
    </row>
    <row r="35" spans="1:5" ht="25.5" x14ac:dyDescent="0.35">
      <c r="A35" s="11">
        <v>46310</v>
      </c>
      <c r="B35" s="10" t="s">
        <v>99</v>
      </c>
      <c r="C35" s="12">
        <v>0.5</v>
      </c>
      <c r="D35" s="9" t="s">
        <v>100</v>
      </c>
      <c r="E35" s="9" t="s">
        <v>101</v>
      </c>
    </row>
    <row r="36" spans="1:5" ht="25.5" x14ac:dyDescent="0.35">
      <c r="A36" s="11">
        <v>46310</v>
      </c>
      <c r="B36" s="10" t="s">
        <v>102</v>
      </c>
      <c r="C36" s="12">
        <v>1.5</v>
      </c>
      <c r="D36" s="9" t="s">
        <v>103</v>
      </c>
      <c r="E36" s="9" t="s">
        <v>104</v>
      </c>
    </row>
    <row r="37" spans="1:5" ht="26.25" x14ac:dyDescent="0.35">
      <c r="A37" s="11">
        <v>46311</v>
      </c>
      <c r="B37" s="10" t="s">
        <v>105</v>
      </c>
      <c r="C37" s="12">
        <v>2.5</v>
      </c>
      <c r="D37" s="9" t="s">
        <v>106</v>
      </c>
      <c r="E37" s="9" t="s">
        <v>80</v>
      </c>
    </row>
    <row r="38" spans="1:5" ht="13.15" x14ac:dyDescent="0.35">
      <c r="A38" s="11">
        <v>46311</v>
      </c>
      <c r="B38" s="10" t="s">
        <v>107</v>
      </c>
      <c r="C38" s="12">
        <v>1</v>
      </c>
      <c r="D38" s="9" t="s">
        <v>108</v>
      </c>
      <c r="E38" s="9" t="s">
        <v>107</v>
      </c>
    </row>
    <row r="39" spans="1:5" ht="38.25" x14ac:dyDescent="0.35">
      <c r="A39" s="11">
        <v>46311</v>
      </c>
      <c r="B39" s="10" t="s">
        <v>109</v>
      </c>
      <c r="C39" s="12">
        <v>3</v>
      </c>
      <c r="D39" s="9" t="s">
        <v>110</v>
      </c>
      <c r="E39" s="9" t="s">
        <v>111</v>
      </c>
    </row>
    <row r="40" spans="1:5" ht="25.5" x14ac:dyDescent="0.35">
      <c r="A40" s="11">
        <v>46311</v>
      </c>
      <c r="B40" s="10" t="s">
        <v>112</v>
      </c>
      <c r="C40" s="12">
        <v>0.5</v>
      </c>
      <c r="D40" s="9" t="s">
        <v>113</v>
      </c>
      <c r="E40" s="9" t="s">
        <v>30</v>
      </c>
    </row>
    <row r="41" spans="1:5" ht="26.25" x14ac:dyDescent="0.35">
      <c r="A41" s="11">
        <v>46311</v>
      </c>
      <c r="B41" s="10" t="s">
        <v>114</v>
      </c>
      <c r="C41" s="12">
        <v>3.5</v>
      </c>
      <c r="D41" s="9" t="s">
        <v>115</v>
      </c>
      <c r="E41" s="9" t="s">
        <v>116</v>
      </c>
    </row>
    <row r="42" spans="1:5" ht="25.5" x14ac:dyDescent="0.35">
      <c r="A42" s="11">
        <v>46311</v>
      </c>
      <c r="B42" s="10" t="s">
        <v>117</v>
      </c>
      <c r="C42" s="12">
        <v>3</v>
      </c>
      <c r="D42" s="9" t="s">
        <v>118</v>
      </c>
      <c r="E42" s="9" t="s">
        <v>119</v>
      </c>
    </row>
  </sheetData>
  <mergeCells count="1">
    <mergeCell ref="A7:E7"/>
  </mergeCells>
  <conditionalFormatting sqref="C9:C42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42" xr:uid="{D26B2BD8-0AFD-48FB-BBA1-B07F75408464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42" xr:uid="{04EB0103-1D9C-4DFC-8906-92996DF6DE7A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Manuel Bulla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986DF-1434-4163-9413-14DE6ECC9A76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43</v>
      </c>
    </row>
    <row r="2" spans="1:5" ht="16.899999999999999" x14ac:dyDescent="0.5">
      <c r="A2" s="3" t="s">
        <v>1</v>
      </c>
    </row>
    <row r="3" spans="1:5" ht="42" customHeight="1" x14ac:dyDescent="0.35">
      <c r="A3" s="31" t="s">
        <v>44</v>
      </c>
      <c r="B3" s="32"/>
      <c r="C3" s="32"/>
      <c r="D3" s="32"/>
      <c r="E3" s="32"/>
    </row>
    <row r="5" spans="1:5" ht="22.05" customHeight="1" x14ac:dyDescent="0.35">
      <c r="A5" s="16" t="s">
        <v>45</v>
      </c>
      <c r="B5" s="16" t="s">
        <v>46</v>
      </c>
      <c r="C5" s="16" t="s">
        <v>47</v>
      </c>
      <c r="D5" s="16" t="s">
        <v>9</v>
      </c>
      <c r="E5" s="16" t="s">
        <v>48</v>
      </c>
    </row>
    <row r="6" spans="1:5" x14ac:dyDescent="0.35">
      <c r="A6" s="17">
        <v>46293</v>
      </c>
      <c r="B6" s="18">
        <f t="shared" ref="B6:B21" si="0">A6+6</f>
        <v>46299</v>
      </c>
      <c r="C6" s="19">
        <f>COUNTIFS(Registro[Data],"&gt;="&amp;A6,Registro[Data],"&lt;="&amp;B6)</f>
        <v>13</v>
      </c>
      <c r="D6" s="20">
        <f>SUMIFS(Registro[Ore],Registro[Data],"&gt;="&amp;A6,Registro[Data],"&lt;="&amp;B6)</f>
        <v>16</v>
      </c>
      <c r="E6" s="20">
        <f>SUM(D$6:D6)</f>
        <v>16</v>
      </c>
    </row>
    <row r="7" spans="1:5" x14ac:dyDescent="0.35">
      <c r="A7" s="21">
        <f t="shared" ref="A7:A21" si="1">A6+7</f>
        <v>46300</v>
      </c>
      <c r="B7" s="21">
        <f t="shared" si="0"/>
        <v>46306</v>
      </c>
      <c r="C7" s="22">
        <f>COUNTIFS(Registro[Data],"&gt;="&amp;A7,Registro[Data],"&lt;="&amp;B7)</f>
        <v>5</v>
      </c>
      <c r="D7" s="23">
        <f>SUMIFS(Registro[Ore],Registro[Data],"&gt;="&amp;A7,Registro[Data],"&lt;="&amp;B7)</f>
        <v>10</v>
      </c>
      <c r="E7" s="23">
        <f>SUM(D$6:D7)</f>
        <v>26</v>
      </c>
    </row>
    <row r="8" spans="1:5" x14ac:dyDescent="0.35">
      <c r="A8" s="18">
        <f t="shared" si="1"/>
        <v>46307</v>
      </c>
      <c r="B8" s="18">
        <f t="shared" si="0"/>
        <v>46313</v>
      </c>
      <c r="C8" s="19">
        <f>COUNTIFS(Registro[Data],"&gt;="&amp;A8,Registro[Data],"&lt;="&amp;B8)</f>
        <v>16</v>
      </c>
      <c r="D8" s="20">
        <f>SUMIFS(Registro[Ore],Registro[Data],"&gt;="&amp;A8,Registro[Data],"&lt;="&amp;B8)</f>
        <v>28.5</v>
      </c>
      <c r="E8" s="20">
        <f>SUM(D$6:D8)</f>
        <v>54.5</v>
      </c>
    </row>
    <row r="9" spans="1:5" x14ac:dyDescent="0.35">
      <c r="A9" s="21">
        <f t="shared" si="1"/>
        <v>46314</v>
      </c>
      <c r="B9" s="21">
        <f t="shared" si="0"/>
        <v>46320</v>
      </c>
      <c r="C9" s="22">
        <f>COUNTIFS(Registro[Data],"&gt;="&amp;A9,Registro[Data],"&lt;="&amp;B9)</f>
        <v>0</v>
      </c>
      <c r="D9" s="23">
        <f>SUMIFS(Registro[Ore],Registro[Data],"&gt;="&amp;A9,Registro[Data],"&lt;="&amp;B9)</f>
        <v>0</v>
      </c>
      <c r="E9" s="23">
        <f>SUM(D$6:D9)</f>
        <v>54.5</v>
      </c>
    </row>
    <row r="10" spans="1:5" x14ac:dyDescent="0.35">
      <c r="A10" s="18">
        <f t="shared" si="1"/>
        <v>46321</v>
      </c>
      <c r="B10" s="18">
        <f t="shared" si="0"/>
        <v>46327</v>
      </c>
      <c r="C10" s="19">
        <f>COUNTIFS(Registro[Data],"&gt;="&amp;A10,Registro[Data],"&lt;="&amp;B10)</f>
        <v>0</v>
      </c>
      <c r="D10" s="20">
        <f>SUMIFS(Registro[Ore],Registro[Data],"&gt;="&amp;A10,Registro[Data],"&lt;="&amp;B10)</f>
        <v>0</v>
      </c>
      <c r="E10" s="20">
        <f>SUM(D$6:D10)</f>
        <v>54.5</v>
      </c>
    </row>
    <row r="11" spans="1:5" x14ac:dyDescent="0.35">
      <c r="A11" s="21">
        <f t="shared" si="1"/>
        <v>46328</v>
      </c>
      <c r="B11" s="21">
        <f t="shared" si="0"/>
        <v>46334</v>
      </c>
      <c r="C11" s="22">
        <f>COUNTIFS(Registro[Data],"&gt;="&amp;A11,Registro[Data],"&lt;="&amp;B11)</f>
        <v>0</v>
      </c>
      <c r="D11" s="23">
        <f>SUMIFS(Registro[Ore],Registro[Data],"&gt;="&amp;A11,Registro[Data],"&lt;="&amp;B11)</f>
        <v>0</v>
      </c>
      <c r="E11" s="23">
        <f>SUM(D$6:D11)</f>
        <v>54.5</v>
      </c>
    </row>
    <row r="12" spans="1:5" x14ac:dyDescent="0.35">
      <c r="A12" s="18">
        <f t="shared" si="1"/>
        <v>46335</v>
      </c>
      <c r="B12" s="18">
        <f t="shared" si="0"/>
        <v>46341</v>
      </c>
      <c r="C12" s="19">
        <f>COUNTIFS(Registro[Data],"&gt;="&amp;A12,Registro[Data],"&lt;="&amp;B12)</f>
        <v>0</v>
      </c>
      <c r="D12" s="20">
        <f>SUMIFS(Registro[Ore],Registro[Data],"&gt;="&amp;A12,Registro[Data],"&lt;="&amp;B12)</f>
        <v>0</v>
      </c>
      <c r="E12" s="20">
        <f>SUM(D$6:D12)</f>
        <v>54.5</v>
      </c>
    </row>
    <row r="13" spans="1:5" x14ac:dyDescent="0.35">
      <c r="A13" s="21">
        <f t="shared" si="1"/>
        <v>46342</v>
      </c>
      <c r="B13" s="21">
        <f t="shared" si="0"/>
        <v>46348</v>
      </c>
      <c r="C13" s="22">
        <f>COUNTIFS(Registro[Data],"&gt;="&amp;A13,Registro[Data],"&lt;="&amp;B13)</f>
        <v>0</v>
      </c>
      <c r="D13" s="23">
        <f>SUMIFS(Registro[Ore],Registro[Data],"&gt;="&amp;A13,Registro[Data],"&lt;="&amp;B13)</f>
        <v>0</v>
      </c>
      <c r="E13" s="23">
        <f>SUM(D$6:D13)</f>
        <v>54.5</v>
      </c>
    </row>
    <row r="14" spans="1:5" x14ac:dyDescent="0.35">
      <c r="A14" s="18">
        <f t="shared" si="1"/>
        <v>46349</v>
      </c>
      <c r="B14" s="18">
        <f t="shared" si="0"/>
        <v>46355</v>
      </c>
      <c r="C14" s="19">
        <f>COUNTIFS(Registro[Data],"&gt;="&amp;A14,Registro[Data],"&lt;="&amp;B14)</f>
        <v>0</v>
      </c>
      <c r="D14" s="20">
        <f>SUMIFS(Registro[Ore],Registro[Data],"&gt;="&amp;A14,Registro[Data],"&lt;="&amp;B14)</f>
        <v>0</v>
      </c>
      <c r="E14" s="20">
        <f>SUM(D$6:D14)</f>
        <v>54.5</v>
      </c>
    </row>
    <row r="15" spans="1:5" x14ac:dyDescent="0.35">
      <c r="A15" s="21">
        <f t="shared" si="1"/>
        <v>46356</v>
      </c>
      <c r="B15" s="21">
        <f t="shared" si="0"/>
        <v>46362</v>
      </c>
      <c r="C15" s="22">
        <f>COUNTIFS(Registro[Data],"&gt;="&amp;A15,Registro[Data],"&lt;="&amp;B15)</f>
        <v>0</v>
      </c>
      <c r="D15" s="23">
        <f>SUMIFS(Registro[Ore],Registro[Data],"&gt;="&amp;A15,Registro[Data],"&lt;="&amp;B15)</f>
        <v>0</v>
      </c>
      <c r="E15" s="23">
        <f>SUM(D$6:D15)</f>
        <v>54.5</v>
      </c>
    </row>
    <row r="16" spans="1:5" x14ac:dyDescent="0.35">
      <c r="A16" s="18">
        <f t="shared" si="1"/>
        <v>46363</v>
      </c>
      <c r="B16" s="18">
        <f t="shared" si="0"/>
        <v>46369</v>
      </c>
      <c r="C16" s="19">
        <f>COUNTIFS(Registro[Data],"&gt;="&amp;A16,Registro[Data],"&lt;="&amp;B16)</f>
        <v>0</v>
      </c>
      <c r="D16" s="20">
        <f>SUMIFS(Registro[Ore],Registro[Data],"&gt;="&amp;A16,Registro[Data],"&lt;="&amp;B16)</f>
        <v>0</v>
      </c>
      <c r="E16" s="20">
        <f>SUM(D$6:D16)</f>
        <v>54.5</v>
      </c>
    </row>
    <row r="17" spans="1:5" x14ac:dyDescent="0.35">
      <c r="A17" s="21">
        <f t="shared" si="1"/>
        <v>46370</v>
      </c>
      <c r="B17" s="21">
        <f t="shared" si="0"/>
        <v>46376</v>
      </c>
      <c r="C17" s="22">
        <f>COUNTIFS(Registro[Data],"&gt;="&amp;A17,Registro[Data],"&lt;="&amp;B17)</f>
        <v>0</v>
      </c>
      <c r="D17" s="23">
        <f>SUMIFS(Registro[Ore],Registro[Data],"&gt;="&amp;A17,Registro[Data],"&lt;="&amp;B17)</f>
        <v>0</v>
      </c>
      <c r="E17" s="23">
        <f>SUM(D$6:D17)</f>
        <v>54.5</v>
      </c>
    </row>
    <row r="18" spans="1:5" x14ac:dyDescent="0.35">
      <c r="A18" s="18">
        <f t="shared" si="1"/>
        <v>46377</v>
      </c>
      <c r="B18" s="18">
        <f t="shared" si="0"/>
        <v>46383</v>
      </c>
      <c r="C18" s="19">
        <f>COUNTIFS(Registro[Data],"&gt;="&amp;A18,Registro[Data],"&lt;="&amp;B18)</f>
        <v>0</v>
      </c>
      <c r="D18" s="20">
        <f>SUMIFS(Registro[Ore],Registro[Data],"&gt;="&amp;A18,Registro[Data],"&lt;="&amp;B18)</f>
        <v>0</v>
      </c>
      <c r="E18" s="20">
        <f>SUM(D$6:D18)</f>
        <v>54.5</v>
      </c>
    </row>
    <row r="19" spans="1:5" x14ac:dyDescent="0.35">
      <c r="A19" s="21">
        <f t="shared" si="1"/>
        <v>46384</v>
      </c>
      <c r="B19" s="21">
        <f t="shared" si="0"/>
        <v>46390</v>
      </c>
      <c r="C19" s="22">
        <f>COUNTIFS(Registro[Data],"&gt;="&amp;A19,Registro[Data],"&lt;="&amp;B19)</f>
        <v>0</v>
      </c>
      <c r="D19" s="23">
        <f>SUMIFS(Registro[Ore],Registro[Data],"&gt;="&amp;A19,Registro[Data],"&lt;="&amp;B19)</f>
        <v>0</v>
      </c>
      <c r="E19" s="23">
        <f>SUM(D$6:D19)</f>
        <v>54.5</v>
      </c>
    </row>
    <row r="20" spans="1:5" x14ac:dyDescent="0.35">
      <c r="A20" s="18">
        <f t="shared" si="1"/>
        <v>46391</v>
      </c>
      <c r="B20" s="18">
        <f t="shared" si="0"/>
        <v>46397</v>
      </c>
      <c r="C20" s="19">
        <f>COUNTIFS(Registro[Data],"&gt;="&amp;A20,Registro[Data],"&lt;="&amp;B20)</f>
        <v>0</v>
      </c>
      <c r="D20" s="20">
        <f>SUMIFS(Registro[Ore],Registro[Data],"&gt;="&amp;A20,Registro[Data],"&lt;="&amp;B20)</f>
        <v>0</v>
      </c>
      <c r="E20" s="20">
        <f>SUM(D$6:D20)</f>
        <v>54.5</v>
      </c>
    </row>
    <row r="21" spans="1:5" x14ac:dyDescent="0.35">
      <c r="A21" s="24">
        <f t="shared" si="1"/>
        <v>46398</v>
      </c>
      <c r="B21" s="24">
        <f t="shared" si="0"/>
        <v>46404</v>
      </c>
      <c r="C21" s="25">
        <f>COUNTIFS(Registro[Data],"&gt;="&amp;A21,Registro[Data],"&lt;="&amp;B21)</f>
        <v>0</v>
      </c>
      <c r="D21" s="26">
        <f>SUMIFS(Registro[Ore],Registro[Data],"&gt;="&amp;A21,Registro[Data],"&lt;="&amp;B21)</f>
        <v>0</v>
      </c>
      <c r="E21" s="26">
        <f>SUM(D$6:D21)</f>
        <v>54.5</v>
      </c>
    </row>
    <row r="22" spans="1:5" ht="13.15" x14ac:dyDescent="0.4">
      <c r="A22" s="27" t="s">
        <v>49</v>
      </c>
      <c r="B22" s="28"/>
      <c r="C22" s="29">
        <f>SUM(C6:C21)</f>
        <v>34</v>
      </c>
      <c r="D22" s="30">
        <f>SUM(D6:D21)</f>
        <v>54.5</v>
      </c>
      <c r="E22" s="28"/>
    </row>
    <row r="24" spans="1:5" ht="13.15" x14ac:dyDescent="0.4">
      <c r="A24" s="6" t="s">
        <v>50</v>
      </c>
      <c r="B24" s="6"/>
      <c r="C24" s="6"/>
      <c r="D24" s="15">
        <f>SUM(Registro[Ore])</f>
        <v>54.5</v>
      </c>
    </row>
    <row r="25" spans="1:5" ht="13.15" x14ac:dyDescent="0.4">
      <c r="A25" s="6" t="s">
        <v>51</v>
      </c>
      <c r="B25" s="6"/>
      <c r="C25" s="6"/>
      <c r="D25" s="15">
        <f>D24-D22</f>
        <v>0</v>
      </c>
    </row>
    <row r="26" spans="1:5" ht="42" customHeight="1" x14ac:dyDescent="0.35">
      <c r="A26" s="31" t="s">
        <v>52</v>
      </c>
      <c r="B26" s="32"/>
      <c r="C26" s="32"/>
      <c r="D26" s="32"/>
      <c r="E26" s="32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Manuel Bulla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2026-10-14T11:30:07Z</dcterms:created>
  <dcterms:modified xsi:type="dcterms:W3CDTF">2026-10-16T18:07:18Z</dcterms:modified>
</cp:coreProperties>
</file>