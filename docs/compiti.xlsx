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piti" sheetId="1" state="visible" r:id="rId1"/>
    <sheet name="Riepilogo" sheetId="2" state="visible" r:id="rId2"/>
  </sheets>
  <definedNames>
    <definedName name="_xlnm._FilterDatabase" localSheetId="0" hidden="1">'Compiti'!$A$1:$J$20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10"/>
    </font>
    <font>
      <name val="Calibri"/>
      <b val="1"/>
      <sz val="10"/>
    </font>
    <font>
      <b val="1"/>
      <color rgb="FF7A2E22"/>
      <sz val="14"/>
    </font>
    <font>
      <i val="1"/>
      <color rgb="FF666666"/>
    </font>
    <font>
      <b val="1"/>
      <color rgb="FFFFFFFF"/>
    </font>
    <font>
      <b val="1"/>
    </font>
  </fonts>
  <fills count="8">
    <fill>
      <patternFill/>
    </fill>
    <fill>
      <patternFill patternType="gray125"/>
    </fill>
    <fill>
      <patternFill patternType="solid">
        <fgColor rgb="FF7A2E22"/>
      </patternFill>
    </fill>
    <fill>
      <patternFill patternType="solid">
        <fgColor rgb="FFFBF8F3"/>
      </patternFill>
    </fill>
    <fill>
      <patternFill patternType="solid">
        <fgColor rgb="00FBEAE6"/>
      </patternFill>
    </fill>
    <fill>
      <patternFill patternType="solid">
        <fgColor rgb="00FFF4D6"/>
      </patternFill>
    </fill>
    <fill>
      <patternFill patternType="solid">
        <fgColor rgb="00E6EEF7"/>
      </patternFill>
    </fill>
    <fill>
      <patternFill patternType="solid">
        <fgColor rgb="00E8F1E4"/>
      </patternFill>
    </fill>
  </fills>
  <borders count="2">
    <border>
      <left/>
      <right/>
      <top/>
      <bottom/>
      <diagonal/>
    </border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164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/>
  </cellStyles>
  <dxfs count="6">
    <dxf>
      <font>
        <b val="1"/>
        <color rgb="FF9C0006"/>
      </font>
      <fill>
        <patternFill patternType="solid">
          <fgColor rgb="FFFF9C9C"/>
          <bgColor rgb="FFFF9C9C"/>
        </patternFill>
      </fill>
    </dxf>
    <dxf>
      <font>
        <b val="1"/>
        <color rgb="FF7F6000"/>
      </font>
      <fill>
        <patternFill patternType="solid">
          <fgColor rgb="FFFFE699"/>
          <bgColor rgb="FFFFE699"/>
        </patternFill>
      </fill>
    </dxf>
    <dxf>
      <font>
        <b val="1"/>
        <color rgb="FF14532D"/>
      </font>
      <fill>
        <patternFill patternType="solid">
          <fgColor rgb="FF92D88F"/>
          <bgColor rgb="FF92D88F"/>
        </patternFill>
      </fill>
    </dxf>
    <dxf>
      <fill>
        <patternFill patternType="solid">
          <bgColor rgb="FFFF9C9C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92D8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Row="0"/>
  <cols>
    <col width="7" customWidth="1" min="1" max="1"/>
    <col width="10" customWidth="1" min="2" max="2"/>
    <col width="20" customWidth="1" min="3" max="3"/>
    <col width="32" customWidth="1" min="4" max="4"/>
    <col width="52" customWidth="1" min="5" max="5"/>
    <col width="52" customWidth="1" min="6" max="6"/>
    <col width="13" customWidth="1" min="7" max="7"/>
    <col width="11" customWidth="1" min="8" max="8"/>
    <col width="12" customWidth="1" min="9" max="9"/>
    <col width="26" customWidth="1" min="10" max="10"/>
  </cols>
  <sheetData>
    <row r="1" ht="24" customHeight="1">
      <c r="A1" s="1" t="inlineStr">
        <is>
          <t>ID</t>
        </is>
      </c>
      <c r="B1" s="1" t="inlineStr">
        <is>
          <t>Priorità</t>
        </is>
      </c>
      <c r="C1" s="1" t="inlineStr">
        <is>
          <t>Area</t>
        </is>
      </c>
      <c r="D1" s="1" t="inlineStr">
        <is>
          <t>Compito</t>
        </is>
      </c>
      <c r="E1" s="1" t="inlineStr">
        <is>
          <t>Cosa c’è da fare</t>
        </is>
      </c>
      <c r="F1" s="1" t="inlineStr">
        <is>
          <t>Situazione attuale</t>
        </is>
      </c>
      <c r="G1" s="1" t="inlineStr">
        <is>
          <t>Assegnato a</t>
        </is>
      </c>
      <c r="H1" s="1" t="inlineStr">
        <is>
          <t>Stato</t>
        </is>
      </c>
      <c r="I1" s="1" t="inlineStr">
        <is>
          <t>Data fine</t>
        </is>
      </c>
      <c r="J1" s="1" t="inlineStr">
        <is>
          <t>Note</t>
        </is>
      </c>
    </row>
    <row r="2">
      <c r="A2" s="14" t="inlineStr">
        <is>
          <t>T-01</t>
        </is>
      </c>
      <c r="B2" s="2" t="inlineStr">
        <is>
          <t>Must</t>
        </is>
      </c>
      <c r="C2" s="15" t="inlineStr">
        <is>
          <t>Requisiti ancora aperti</t>
        </is>
      </c>
      <c r="D2" s="14" t="inlineStr">
        <is>
          <t>Foto ufficiali dei luoghi (RF-02, RF-03, RNF-V02)</t>
        </is>
      </c>
      <c r="E2" s="2" t="inlineStr">
        <is>
          <t>Eseguire npm run scarica-foto, rivedere a mano le foto proposte e fare la verifica con la Soprintendenza (Fase 2, §6).</t>
        </is>
      </c>
      <c r="F2" s="2" t="inlineStr">
        <is>
          <t>Nessuno dei 45 luoghi ha una foto ufficiale: le schede mostrano il ritaglio della mappa. Dalla prova a secco, 37 luoghi su 39 hanno una foto libera su Wikimedia Commons; mancano fogolino-torrion-da-basso e calisio. La scelta automatica va corretta a mano (villa-margon propone una forma di formaggio, nettuno la stessa foto del Duomo). Il resto di RF-03 è chiuso: 16 affreschi e almeno una fonte per ogni luogo.</t>
        </is>
      </c>
      <c r="G2" s="2" t="n"/>
      <c r="H2" s="2" t="inlineStr">
        <is>
          <t>Da fare</t>
        </is>
      </c>
      <c r="I2" s="2" t="n"/>
      <c r="J2" s="2" t="inlineStr">
        <is>
          <t>foto-da-scaricare.json, scarica-foto.js</t>
        </is>
      </c>
    </row>
    <row r="3">
      <c r="A3" s="14" t="inlineStr">
        <is>
          <t>T-02</t>
        </is>
      </c>
      <c r="B3" s="2" t="inlineStr">
        <is>
          <t>Must</t>
        </is>
      </c>
      <c r="C3" s="15" t="inlineStr">
        <is>
          <t>Requisiti ancora aperti</t>
        </is>
      </c>
      <c r="D3" s="14" t="inlineStr">
        <is>
          <t>Prove sui browser (RNF-PO01)</t>
        </is>
      </c>
      <c r="E3" s="2" t="inlineStr">
        <is>
          <t>Provare il sito su Edge, Firefox, Safari, iPhone e Android e compilare la tabella del §8.3 della verifica. Su telefono provare anche l’installazione come app e la bussola di “Cosa sto guardando?”.</t>
        </is>
      </c>
      <c r="F3" s="2" t="inlineStr">
        <is>
          <t>Il sito è stato provato solo su Chrome; la tabella del protocollo è vuota.</t>
        </is>
      </c>
      <c r="G3" s="2" t="n"/>
      <c r="H3" s="2" t="inlineStr">
        <is>
          <t>Da fare</t>
        </is>
      </c>
      <c r="I3" s="2" t="n"/>
      <c r="J3" s="2" t="n"/>
    </row>
    <row r="4">
      <c r="A4" s="14" t="inlineStr">
        <is>
          <t>T-03</t>
        </is>
      </c>
      <c r="B4" s="2" t="inlineStr">
        <is>
          <t>Should</t>
        </is>
      </c>
      <c r="C4" s="15" t="inlineStr">
        <is>
          <t>Requisiti ancora aperti</t>
        </is>
      </c>
      <c r="D4" s="14" t="inlineStr">
        <is>
          <t>Test di usabilità con 5 persone (RNF-U03)</t>
        </is>
      </c>
      <c r="E4" s="2" t="inlineStr">
        <is>
          <t>Fare il test (protocollo nel §8.1 della verifica) e riportare i risultati nella tabella.</t>
        </is>
      </c>
      <c r="F4" s="2" t="inlineStr">
        <is>
          <t>Un nuovo utente deve trovare un luogo vicino in 30 s. Il protocollo c’è, la tabella dei risultati è vuota.</t>
        </is>
      </c>
      <c r="G4" s="2" t="n"/>
      <c r="H4" s="2" t="inlineStr">
        <is>
          <t>Da fare</t>
        </is>
      </c>
      <c r="I4" s="2" t="n"/>
      <c r="J4" s="2" t="n"/>
    </row>
    <row r="5">
      <c r="A5" s="14" t="inlineStr">
        <is>
          <t>T-04</t>
        </is>
      </c>
      <c r="B5" s="2" t="inlineStr">
        <is>
          <t>Should</t>
        </is>
      </c>
      <c r="C5" s="15" t="inlineStr">
        <is>
          <t>Requisiti ancora aperti</t>
        </is>
      </c>
      <c r="D5" s="14" t="inlineStr">
        <is>
          <t>Accessibilità, WCAG 2.1 AA (RNF-U04)</t>
        </is>
      </c>
      <c r="E5" s="2" t="inlineStr">
        <is>
          <t>Fare il controllo manuale con tastiera, screen reader, zoom al 200% e riduzione del movimento (§8.2 della verifica) e rifare Lighthouse (obiettivo ≥ 90).</t>
        </is>
      </c>
      <c r="F5" s="2" t="inlineStr">
        <is>
          <t>Lighthouse 100 su 11 pagine è dichiarato dal team, ma non è stato rifatto. Un controllo di base sul DOM di 19 pagine non ha trovato problemi (testi alternativi, nomi dei controlli, titoli in ordine, nessun id duplicato).</t>
        </is>
      </c>
      <c r="G5" s="2" t="n"/>
      <c r="H5" s="2" t="inlineStr">
        <is>
          <t>Da fare</t>
        </is>
      </c>
      <c r="I5" s="2" t="n"/>
      <c r="J5" s="2" t="n"/>
    </row>
    <row r="6">
      <c r="A6" s="14" t="inlineStr">
        <is>
          <t>T-05</t>
        </is>
      </c>
      <c r="B6" s="2" t="inlineStr">
        <is>
          <t>Could</t>
        </is>
      </c>
      <c r="C6" s="15" t="inlineStr">
        <is>
          <t>Requisiti ancora aperti</t>
        </is>
      </c>
      <c r="D6" s="14" t="inlineStr">
        <is>
          <t>Riconoscere un luogo con la fotocamera (RF-06)</t>
        </is>
      </c>
      <c r="E6" s="2" t="inlineStr">
        <is>
          <t>Decidere se basta la proposta da posizione e bussola o se serve riconoscere l’immagine (AI Service, Fase 3 §5.4); provare la bussola su un telefono vero.</t>
        </is>
      </c>
      <c r="F6" s="2" t="inlineStr">
        <is>
          <t>“Cosa sto guardando?” propone il luogo da posizione e bussola, non riconosce l’immagine (lo dice il README). In Piazza Duomo elenca i luoghi entro 150 m. La logica ha test unitari; l’evento della bussola non si è potuto simulare.</t>
        </is>
      </c>
      <c r="G6" s="2" t="n"/>
      <c r="H6" s="2" t="inlineStr">
        <is>
          <t>Da fare</t>
        </is>
      </c>
      <c r="I6" s="2" t="n"/>
      <c r="J6" s="2" t="inlineStr">
        <is>
          <t>Inquadra.jsx, geo.js</t>
        </is>
      </c>
    </row>
    <row r="7">
      <c r="A7" s="14" t="inlineStr">
        <is>
          <t>T-06</t>
        </is>
      </c>
      <c r="B7" s="2" t="n"/>
      <c r="C7" s="16" t="inlineStr">
        <is>
          <t>Da riverificare</t>
        </is>
      </c>
      <c r="D7" s="14" t="inlineStr">
        <is>
          <t>Tutto il traffico in HTTPS (RNF-S01)</t>
        </is>
      </c>
      <c r="E7" s="2" t="inlineStr">
        <is>
          <t>Provare il proxy Caddy sul server pubblicato, con il suo dominio: redirect, HSTS, cookie Secure, porta 3000 chiusa.</t>
        </is>
      </c>
      <c r="F7" s="2" t="inlineStr">
        <is>
          <t>Il team dichiara di averlo provato in locale (redirect 308, HTTP/2, HSTS). docker-compose.yml e Caddyfile sono coerenti; il server manda HSTS e gzip.</t>
        </is>
      </c>
      <c r="G7" s="2" t="n"/>
      <c r="H7" s="2" t="inlineStr">
        <is>
          <t>Da fare</t>
        </is>
      </c>
      <c r="I7" s="2" t="n"/>
      <c r="J7" s="2" t="n"/>
    </row>
    <row r="8">
      <c r="A8" s="14" t="inlineStr">
        <is>
          <t>T-07</t>
        </is>
      </c>
      <c r="B8" s="2" t="n"/>
      <c r="C8" s="16" t="inlineStr">
        <is>
          <t>Da riverificare</t>
        </is>
      </c>
      <c r="D8" s="14" t="inlineStr">
        <is>
          <t>Avvio con un solo comando (RNF-PO03)</t>
        </is>
      </c>
      <c r="E8" s="2" t="inlineStr">
        <is>
          <t>Provare docker compose up --build su una macchina pulita.</t>
        </is>
      </c>
      <c r="F8" s="2" t="inlineStr">
        <is>
          <t>npm ci --dry-run sul lockfile riesce, la build di produzione funziona e il segreto dei token si crea da solo in produzione (config.js).</t>
        </is>
      </c>
      <c r="G8" s="2" t="n"/>
      <c r="H8" s="2" t="inlineStr">
        <is>
          <t>Da fare</t>
        </is>
      </c>
      <c r="I8" s="2" t="n"/>
      <c r="J8" s="2" t="n"/>
    </row>
    <row r="9">
      <c r="A9" s="14" t="inlineStr">
        <is>
          <t>T-08</t>
        </is>
      </c>
      <c r="B9" s="2" t="n"/>
      <c r="C9" s="16" t="inlineStr">
        <is>
          <t>Da riverificare</t>
        </is>
      </c>
      <c r="D9" s="14" t="inlineStr">
        <is>
          <t>Risposta sotto 1 s con 100 utenti (RNF-P04)</t>
        </is>
      </c>
      <c r="E9" s="2" t="inlineStr">
        <is>
          <t>Rifare la prova con Docker e autocannon, alzando LIMITE_RICHIESTE oltre le 600 richieste al minuto per indirizzo IP.</t>
        </is>
      </c>
      <c r="F9" s="2" t="inlineStr">
        <is>
          <t>Il team dichiara il 99° percentile tra 109 e 280 ms con 100 connessioni e nessun errore. Non ancora riverificato.</t>
        </is>
      </c>
      <c r="G9" s="2" t="n"/>
      <c r="H9" s="2" t="inlineStr">
        <is>
          <t>Da fare</t>
        </is>
      </c>
      <c r="I9" s="2" t="n"/>
      <c r="J9" s="2" t="inlineStr">
        <is>
          <t>Script in tests/prestazioni/</t>
        </is>
      </c>
    </row>
    <row r="10">
      <c r="A10" s="14" t="inlineStr">
        <is>
          <t>T-26</t>
        </is>
      </c>
      <c r="B10" s="2" t="n"/>
      <c r="C10" s="17" t="inlineStr">
        <is>
          <t>Documentazione</t>
        </is>
      </c>
      <c r="D10" s="14" t="inlineStr">
        <is>
          <t>Fase 2 · Specifiche dei requisiti (v0.4)</t>
        </is>
      </c>
      <c r="E10" s="2" t="inlineStr">
        <is>
          <t>Aggiornare lo stato dei requisiti, i “Punti aperti” (§6, per esempio RF-06) e le matrici di tracciabilità; aggiungere scarica i miei dati, cambio del nome, conservazione automatica e importazione dei dati.</t>
        </is>
      </c>
      <c r="F10" s="2" t="inlineStr">
        <is>
          <t>Il documento non cambia dal 1° ottobre e non riflette quanto realizzato. Il CONTRIBUTING chiede di aggiornare le matrici quando un requisito cambia.</t>
        </is>
      </c>
      <c r="G10" s="2" t="n"/>
      <c r="H10" s="2" t="inlineStr">
        <is>
          <t>Da fare</t>
        </is>
      </c>
      <c r="I10" s="2" t="n"/>
      <c r="J10" s="2" t="n"/>
    </row>
    <row r="11">
      <c r="A11" s="14" t="inlineStr">
        <is>
          <t>T-27</t>
        </is>
      </c>
      <c r="B11" s="2" t="n"/>
      <c r="C11" s="17" t="inlineStr">
        <is>
          <t>Documentazione</t>
        </is>
      </c>
      <c r="D11" s="14" t="inlineStr">
        <is>
          <t>Fase 3 · Architettura (v0.2)</t>
        </is>
      </c>
      <c r="E11" s="2" t="inlineStr">
        <is>
          <t>Correggere il §8 (il proxy HTTPS ora esiste, con il profilo https e Caddy) e registrare le nuove decisioni: proxy HTTPS, traduzioni salvate nei dati, service worker, pulizia dei dati scaduti.</t>
        </is>
      </c>
      <c r="F11" s="2" t="inlineStr">
        <is>
          <t>Il §8 dice ancora che il proxy HTTPS “resta da configurare con l’hosting”.</t>
        </is>
      </c>
      <c r="G11" s="2" t="n"/>
      <c r="H11" s="2" t="inlineStr">
        <is>
          <t>Da fare</t>
        </is>
      </c>
      <c r="I11" s="2" t="n"/>
      <c r="J11" s="2" t="n"/>
    </row>
    <row r="12">
      <c r="A12" s="14" t="inlineStr">
        <is>
          <t>T-28</t>
        </is>
      </c>
      <c r="B12" s="2" t="n"/>
      <c r="C12" s="17" t="inlineStr">
        <is>
          <t>Documentazione</t>
        </is>
      </c>
      <c r="D12" s="14" t="inlineStr">
        <is>
          <t>Verifica dei requisiti non funzionali (v0.1)</t>
        </is>
      </c>
      <c r="E12" s="2" t="inlineStr">
        <is>
          <t>Aggiornare il rimando alla v0.1 e ripetere la misura del tempo di apertura della scheda con le mappe vere.</t>
        </is>
      </c>
      <c r="F12" s="2" t="inlineStr">
        <is>
          <t>Il valore del documento (0,65–0,75 s) è più ottimistico di quello rifatto (1,0–1,5 s).</t>
        </is>
      </c>
      <c r="G12" s="2" t="n"/>
      <c r="H12" s="2" t="inlineStr">
        <is>
          <t>Da fare</t>
        </is>
      </c>
      <c r="I12" s="2" t="n"/>
      <c r="J12" s="2" t="n"/>
    </row>
    <row r="13">
      <c r="A13" s="14" t="inlineStr">
        <is>
          <t>T-34</t>
        </is>
      </c>
      <c r="B13" s="2" t="inlineStr">
        <is>
          <t>Must</t>
        </is>
      </c>
      <c r="C13" s="18" t="inlineStr">
        <is>
          <t>GDPR · compiti del titolare</t>
        </is>
      </c>
      <c r="D13" s="14" t="inlineStr">
        <is>
          <t>Indirizzo per le richieste sui dati</t>
        </is>
      </c>
      <c r="E13" s="2" t="inlineStr">
        <is>
          <t>Impostare la variabile EMAIL_PRIVACY.</t>
        </is>
      </c>
      <c r="F13" s="2" t="inlineStr">
        <is>
          <t>Senza, il server avvisa all’avvio e l’informativa non ha un contatto.</t>
        </is>
      </c>
      <c r="G13" s="2" t="n"/>
      <c r="H13" s="2" t="inlineStr">
        <is>
          <t>Da fare</t>
        </is>
      </c>
      <c r="I13" s="2" t="n"/>
      <c r="J13" s="2" t="inlineStr">
        <is>
          <t>art. 13.1.b</t>
        </is>
      </c>
    </row>
    <row r="14">
      <c r="A14" s="14" t="inlineStr">
        <is>
          <t>T-45</t>
        </is>
      </c>
      <c r="B14" s="2" t="inlineStr">
        <is>
          <t>Must</t>
        </is>
      </c>
      <c r="C14" s="18" t="inlineStr">
        <is>
          <t>GDPR · compiti del titolare</t>
        </is>
      </c>
      <c r="D14" s="14" t="inlineStr">
        <is>
          <t>Rettifica dell’e-mail, limitazione e opposizione</t>
        </is>
      </c>
      <c r="E14" s="2" t="inlineStr">
        <is>
          <t>Definire chi risponde alle richieste e come, entro 30 giorni, all’indirizzo indicato nell’informativa.</t>
        </is>
      </c>
      <c r="F14" s="2" t="inlineStr">
        <is>
          <t>Funzionano solo su richiesta, non c’è una funzione nel sito.</t>
        </is>
      </c>
      <c r="G14" s="2" t="n"/>
      <c r="H14" s="2" t="inlineStr">
        <is>
          <t>Da fare</t>
        </is>
      </c>
      <c r="I14" s="2" t="n"/>
      <c r="J14" s="2" t="inlineStr">
        <is>
          <t>art. 16, 18, 21 · art. 12.3</t>
        </is>
      </c>
    </row>
    <row r="15">
      <c r="A15" s="14" t="inlineStr">
        <is>
          <t>T-56</t>
        </is>
      </c>
      <c r="B15" s="2" t="inlineStr">
        <is>
          <t>Must</t>
        </is>
      </c>
      <c r="C15" s="18" t="inlineStr">
        <is>
          <t>GDPR · compiti del titolare</t>
        </is>
      </c>
      <c r="D15" s="14" t="inlineStr">
        <is>
          <t>Dati del titolare nell’informativa</t>
        </is>
      </c>
      <c r="E15" s="2" t="inlineStr">
        <is>
          <t>Indicare EMAIL_PRIVACY e, se il titolare non è il team, aggiornare la sezione “Chi tratta i dati”.</t>
        </is>
      </c>
      <c r="F15" s="2" t="inlineStr">
        <is>
          <t>Va di pari passo con T-34.</t>
        </is>
      </c>
      <c r="G15" s="2" t="n"/>
      <c r="H15" s="2" t="inlineStr">
        <is>
          <t>Da fare</t>
        </is>
      </c>
      <c r="I15" s="2" t="n"/>
      <c r="J15" s="2" t="inlineStr">
        <is>
          <t>art. 13</t>
        </is>
      </c>
    </row>
    <row r="16">
      <c r="A16" s="14" t="inlineStr">
        <is>
          <t>T-57</t>
        </is>
      </c>
      <c r="B16" s="2" t="inlineStr">
        <is>
          <t>Must</t>
        </is>
      </c>
      <c r="C16" s="18" t="inlineStr">
        <is>
          <t>GDPR · compiti del titolare</t>
        </is>
      </c>
      <c r="D16" s="14" t="inlineStr">
        <is>
          <t>Accordi con i fornitori</t>
        </is>
      </c>
      <c r="E16" s="2" t="inlineStr">
        <is>
          <t>Firmare gli accordi con i fornitori che trattano dati per conto del titolare: hosting e servizio di posta (SMTP).</t>
        </is>
      </c>
      <c r="F16" s="2" t="n"/>
      <c r="G16" s="2" t="n"/>
      <c r="H16" s="2" t="inlineStr">
        <is>
          <t>Da fare</t>
        </is>
      </c>
      <c r="I16" s="2" t="n"/>
      <c r="J16" s="2" t="inlineStr">
        <is>
          <t>art. 28</t>
        </is>
      </c>
    </row>
    <row r="17">
      <c r="A17" s="14" t="inlineStr">
        <is>
          <t>T-58</t>
        </is>
      </c>
      <c r="B17" s="2" t="inlineStr">
        <is>
          <t>Must</t>
        </is>
      </c>
      <c r="C17" s="18" t="inlineStr">
        <is>
          <t>GDPR · compiti del titolare</t>
        </is>
      </c>
      <c r="D17" s="14" t="inlineStr">
        <is>
          <t>Registro delle attività di trattamento</t>
        </is>
      </c>
      <c r="E17" s="2" t="inlineStr">
        <is>
          <t>Compilare il registro.</t>
        </is>
      </c>
      <c r="F17" s="2" t="n"/>
      <c r="G17" s="2" t="n"/>
      <c r="H17" s="2" t="inlineStr">
        <is>
          <t>Da fare</t>
        </is>
      </c>
      <c r="I17" s="2" t="n"/>
      <c r="J17" s="2" t="inlineStr">
        <is>
          <t>art. 30</t>
        </is>
      </c>
    </row>
    <row r="18">
      <c r="A18" s="14" t="inlineStr">
        <is>
          <t>T-59</t>
        </is>
      </c>
      <c r="B18" s="2" t="inlineStr">
        <is>
          <t>Must</t>
        </is>
      </c>
      <c r="C18" s="18" t="inlineStr">
        <is>
          <t>GDPR · compiti del titolare</t>
        </is>
      </c>
      <c r="D18" s="14" t="inlineStr">
        <is>
          <t>Procedura per le violazioni di dati</t>
        </is>
      </c>
      <c r="E18" s="2" t="inlineStr">
        <is>
          <t>Scrivere chi se ne accorge e chi avvisa il Garante entro 72 ore.</t>
        </is>
      </c>
      <c r="F18" s="2" t="n"/>
      <c r="G18" s="2" t="n"/>
      <c r="H18" s="2" t="inlineStr">
        <is>
          <t>Da fare</t>
        </is>
      </c>
      <c r="I18" s="2" t="n"/>
      <c r="J18" s="2" t="inlineStr">
        <is>
          <t>art. 33, 34</t>
        </is>
      </c>
    </row>
    <row r="19">
      <c r="A19" s="14" t="inlineStr">
        <is>
          <t>T-60</t>
        </is>
      </c>
      <c r="B19" s="2" t="inlineStr">
        <is>
          <t>Must</t>
        </is>
      </c>
      <c r="C19" s="18" t="inlineStr">
        <is>
          <t>GDPR · compiti del titolare</t>
        </is>
      </c>
      <c r="D19" s="14" t="inlineStr">
        <is>
          <t>Copie di sicurezza del database</t>
        </is>
      </c>
      <c r="E19" s="2" t="inlineStr">
        <is>
          <t>Impostare i backup con gli stessi tempi di conservazione dei dati.</t>
        </is>
      </c>
      <c r="F19" s="2" t="n"/>
      <c r="G19" s="2" t="n"/>
      <c r="H19" s="2" t="inlineStr">
        <is>
          <t>Da fare</t>
        </is>
      </c>
      <c r="I19" s="2" t="n"/>
      <c r="J19" s="2" t="inlineStr">
        <is>
          <t>art. 5.1.e, 32</t>
        </is>
      </c>
    </row>
    <row r="20">
      <c r="A20" s="14" t="inlineStr">
        <is>
          <t>T-61</t>
        </is>
      </c>
      <c r="B20" s="2" t="inlineStr">
        <is>
          <t>Must</t>
        </is>
      </c>
      <c r="C20" s="18" t="inlineStr">
        <is>
          <t>GDPR · compiti del titolare</t>
        </is>
      </c>
      <c r="D20" s="14" t="inlineStr">
        <is>
          <t>Valutazione d’impatto (DPIA)</t>
        </is>
      </c>
      <c r="E20" s="2" t="inlineStr">
        <is>
          <t>Confermare che non serve: non ci sono trattamenti su larga scala di dati particolari né profilazione.</t>
        </is>
      </c>
      <c r="F20" s="2" t="n"/>
      <c r="G20" s="2" t="n"/>
      <c r="H20" s="2" t="inlineStr">
        <is>
          <t>Da fare</t>
        </is>
      </c>
      <c r="I20" s="2" t="n"/>
      <c r="J20" s="2" t="inlineStr">
        <is>
          <t>art. 35</t>
        </is>
      </c>
    </row>
  </sheetData>
  <autoFilter ref="A1:J20"/>
  <conditionalFormatting sqref="H2:H20">
    <cfRule type="expression" priority="1" dxfId="3">
      <formula>$H2="Da fare"</formula>
    </cfRule>
    <cfRule type="expression" priority="2" dxfId="4">
      <formula>$H2="In corso"</formula>
    </cfRule>
    <cfRule type="expression" priority="3" dxfId="5">
      <formula>$H2="Fatto"</formula>
    </cfRule>
  </conditionalFormatting>
  <dataValidations count="2">
    <dataValidation sqref="G2:G20" showDropDown="0" showInputMessage="0" showErrorMessage="0" allowBlank="1" type="list">
      <formula1>"Manuel,Marco,Pietro"</formula1>
    </dataValidation>
    <dataValidation sqref="H2:H20" showDropDown="0" showInputMessage="0" showErrorMessage="0" allowBlank="0" type="list">
      <formula1>"Da fare,In corso,Fatto"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 outlineLevelRow="0"/>
  <cols>
    <col width="24" customWidth="1" min="1" max="1"/>
    <col width="12" customWidth="1" min="2" max="5"/>
  </cols>
  <sheetData>
    <row r="1">
      <c r="A1" s="8" t="inlineStr">
        <is>
          <t>Compiti del progetto</t>
        </is>
      </c>
    </row>
    <row r="2">
      <c r="A2" s="9" t="inlineStr">
        <is>
          <t>Discover Tridentum · dalle vecchie "Cose mancanti" (v0.2) e "Checklist GDPR" (v0.1)</t>
        </is>
      </c>
    </row>
    <row r="4">
      <c r="A4" s="10" t="inlineStr"/>
      <c r="B4" s="10" t="inlineStr">
        <is>
          <t>Da fare</t>
        </is>
      </c>
      <c r="C4" s="10" t="inlineStr">
        <is>
          <t>In corso</t>
        </is>
      </c>
      <c r="D4" s="10" t="inlineStr">
        <is>
          <t>Fatto</t>
        </is>
      </c>
      <c r="E4" s="10" t="inlineStr">
        <is>
          <t>Totale</t>
        </is>
      </c>
    </row>
    <row r="5" customFormat="1" s="11">
      <c r="A5" s="11" t="inlineStr">
        <is>
          <t>Tutti i compiti</t>
        </is>
      </c>
      <c r="B5" s="12">
        <f>COUNTIF(Compiti!$H$2:$H$20,"Da fare")</f>
        <v/>
      </c>
      <c r="C5" s="12">
        <f>COUNTIF(Compiti!$H$2:$H$20,"In corso")</f>
        <v/>
      </c>
      <c r="D5" s="12">
        <f>COUNTIF(Compiti!$H$2:$H$20,"Fatto")</f>
        <v/>
      </c>
      <c r="E5" s="12">
        <f>SUM(B5:D5)</f>
        <v/>
      </c>
    </row>
    <row r="7" customFormat="1" s="11">
      <c r="A7" s="11" t="inlineStr">
        <is>
          <t>Per persona</t>
        </is>
      </c>
    </row>
    <row r="8">
      <c r="A8" t="inlineStr">
        <is>
          <t>Manuel</t>
        </is>
      </c>
      <c r="B8" s="13">
        <f>COUNTIFS(Compiti!$H$2:$H$20,"Da fare",Compiti!$F$2:$F$20,"Manuel")</f>
        <v/>
      </c>
      <c r="C8" s="13">
        <f>COUNTIFS(Compiti!$H$2:$H$20,"In corso",Compiti!$F$2:$F$20,"Manuel")</f>
        <v/>
      </c>
      <c r="D8" s="13">
        <f>COUNTIFS(Compiti!$H$2:$H$20,"Fatto",Compiti!$F$2:$F$20,"Manuel")</f>
        <v/>
      </c>
      <c r="E8" s="13">
        <f>SUM(B8:D8)</f>
        <v/>
      </c>
    </row>
    <row r="9">
      <c r="A9" t="inlineStr">
        <is>
          <t>Marco</t>
        </is>
      </c>
      <c r="B9" s="13">
        <f>COUNTIFS(Compiti!$H$2:$H$20,"Da fare",Compiti!$F$2:$F$20,"Marco")</f>
        <v/>
      </c>
      <c r="C9" s="13">
        <f>COUNTIFS(Compiti!$H$2:$H$20,"In corso",Compiti!$F$2:$F$20,"Marco")</f>
        <v/>
      </c>
      <c r="D9" s="13">
        <f>COUNTIFS(Compiti!$H$2:$H$20,"Fatto",Compiti!$F$2:$F$20,"Marco")</f>
        <v/>
      </c>
      <c r="E9" s="13">
        <f>SUM(B9:D9)</f>
        <v/>
      </c>
    </row>
    <row r="10">
      <c r="A10" t="inlineStr">
        <is>
          <t>Pietro</t>
        </is>
      </c>
      <c r="B10" s="13">
        <f>COUNTIFS(Compiti!$H$2:$H$20,"Da fare",Compiti!$F$2:$F$20,"Pietro")</f>
        <v/>
      </c>
      <c r="C10" s="13">
        <f>COUNTIFS(Compiti!$H$2:$H$20,"In corso",Compiti!$F$2:$F$20,"Pietro")</f>
        <v/>
      </c>
      <c r="D10" s="13">
        <f>COUNTIFS(Compiti!$H$2:$H$20,"Fatto",Compiti!$F$2:$F$20,"Pietro")</f>
        <v/>
      </c>
      <c r="E10" s="13">
        <f>SUM(B10:D10)</f>
        <v/>
      </c>
    </row>
    <row r="11">
      <c r="A11" t="inlineStr">
        <is>
          <t>Non assegnati</t>
        </is>
      </c>
      <c r="B11" s="13">
        <f>COUNTIFS(Compiti!$H$2:$H$20,"Da fare",Compiti!$F$2:$F$20,"")</f>
        <v/>
      </c>
      <c r="C11" s="13">
        <f>COUNTIFS(Compiti!$H$2:$H$20,"In corso",Compiti!$F$2:$F$20,"")</f>
        <v/>
      </c>
      <c r="D11" s="13">
        <f>COUNTIFS(Compiti!$H$2:$H$20,"Fatto",Compiti!$F$2:$F$20,"")</f>
        <v/>
      </c>
      <c r="E11" s="13">
        <f>SUM(B11:D11)</f>
        <v/>
      </c>
    </row>
    <row r="13" customFormat="1" s="11">
      <c r="A13" s="11" t="inlineStr">
        <is>
          <t>Per priorità</t>
        </is>
      </c>
    </row>
    <row r="14">
      <c r="A14" t="inlineStr">
        <is>
          <t>Must</t>
        </is>
      </c>
      <c r="B14" s="13">
        <f>COUNTIFS(Compiti!$H$2:$H$20,"Da fare",Compiti!$B$2:$B$20,"Must")</f>
        <v/>
      </c>
      <c r="C14" s="13">
        <f>COUNTIFS(Compiti!$H$2:$H$20,"In corso",Compiti!$B$2:$B$20,"Must")</f>
        <v/>
      </c>
      <c r="D14" s="13">
        <f>COUNTIFS(Compiti!$H$2:$H$20,"Fatto",Compiti!$B$2:$B$20,"Must")</f>
        <v/>
      </c>
      <c r="E14" s="13">
        <f>SUM(B14:D14)</f>
        <v/>
      </c>
    </row>
    <row r="15">
      <c r="A15" t="inlineStr">
        <is>
          <t>Should</t>
        </is>
      </c>
      <c r="B15" s="13">
        <f>COUNTIFS(Compiti!$H$2:$H$20,"Da fare",Compiti!$B$2:$B$20,"Should")</f>
        <v/>
      </c>
      <c r="C15" s="13">
        <f>COUNTIFS(Compiti!$H$2:$H$20,"In corso",Compiti!$B$2:$B$20,"Should")</f>
        <v/>
      </c>
      <c r="D15" s="13">
        <f>COUNTIFS(Compiti!$H$2:$H$20,"Fatto",Compiti!$B$2:$B$20,"Should")</f>
        <v/>
      </c>
      <c r="E15" s="13">
        <f>SUM(B15:D15)</f>
        <v/>
      </c>
    </row>
    <row r="16">
      <c r="A16" t="inlineStr">
        <is>
          <t>Could</t>
        </is>
      </c>
      <c r="B16" s="13">
        <f>COUNTIFS(Compiti!$H$2:$H$20,"Da fare",Compiti!$B$2:$B$20,"Could")</f>
        <v/>
      </c>
      <c r="C16" s="13">
        <f>COUNTIFS(Compiti!$H$2:$H$20,"In corso",Compiti!$B$2:$B$20,"Could")</f>
        <v/>
      </c>
      <c r="D16" s="13">
        <f>COUNTIFS(Compiti!$H$2:$H$20,"Fatto",Compiti!$B$2:$B$20,"Could")</f>
        <v/>
      </c>
      <c r="E16" s="13">
        <f>SUM(B16:D16)</f>
        <v/>
      </c>
    </row>
    <row r="17">
      <c r="A17" t="inlineStr">
        <is>
          <t>Non indicata</t>
        </is>
      </c>
      <c r="B17" s="13">
        <f>COUNTIFS(Compiti!$H$2:$H$20,"Da fare",Compiti!$B$2:$B$20,"")</f>
        <v/>
      </c>
      <c r="C17" s="13">
        <f>COUNTIFS(Compiti!$H$2:$H$20,"In corso",Compiti!$B$2:$B$20,"")</f>
        <v/>
      </c>
      <c r="D17" s="13">
        <f>COUNTIFS(Compiti!$H$2:$H$20,"Fatto",Compiti!$B$2:$B$20,"")</f>
        <v/>
      </c>
      <c r="E17" s="13">
        <f>SUM(B17:D17)</f>
        <v/>
      </c>
    </row>
    <row r="18" customFormat="1" s="9">
      <c r="A18" s="9" t="n"/>
    </row>
    <row r="19">
      <c r="A19" s="9" t="inlineStr">
        <is>
          <t>Si scrive solo nel foglio "Compiti": Assegnato a, Stato (Da fare rosso, In corso giallo, Fatto verde), Data fine e Note. I compiti già fatti sono stati tolti dall’elenco (restano nella cronologia di Git).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2026-10-14T11:48:36Z</dcterms:created>
  <dcterms:modified xsi:type="dcterms:W3CDTF">2026-10-15T14:21:26Z</dcterms:modified>
  <cp:lastModifiedBy>Unknown</cp:lastModifiedBy>
</cp:coreProperties>
</file>