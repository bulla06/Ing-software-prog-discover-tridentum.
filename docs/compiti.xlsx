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Compiti" sheetId="1" state="visible" r:id="rId1"/>
    <sheet name="Riepilogo" sheetId="2" state="visible" r:id="rId2"/>
  </sheets>
  <definedNames>
    <definedName name="_xlnm._FilterDatabase" localSheetId="0" hidden="1">'Compiti'!$A$1:$J$19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7A2E22"/>
      <sz val="14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i val="1"/>
      <color rgb="FF666666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7A2E22"/>
      </patternFill>
    </fill>
    <fill>
      <patternFill patternType="solid">
        <fgColor rgb="FFFBEAE6"/>
      </patternFill>
    </fill>
    <fill>
      <patternFill patternType="solid">
        <fgColor rgb="FFFFF4D6"/>
      </patternFill>
    </fill>
    <fill>
      <patternFill patternType="solid">
        <fgColor rgb="FFE6EEF7"/>
      </patternFill>
    </fill>
    <fill>
      <patternFill patternType="solid">
        <fgColor rgb="FFE8F1E4"/>
      </patternFill>
    </fill>
  </fills>
  <borders count="2">
    <border>
      <left/>
      <right/>
      <top/>
      <bottom/>
      <diagonal/>
    </border>
    <border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e" xfId="0" builtinId="0"/>
  </cellStyles>
  <dxfs count="3">
    <dxf>
      <fill>
        <patternFill patternType="solid">
          <bgColor rgb="FF92D88F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9C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7" customWidth="1" min="1" max="1"/>
    <col width="10" customWidth="1" min="2" max="2"/>
    <col width="20" customWidth="1" min="3" max="3"/>
    <col width="32" customWidth="1" min="4" max="4"/>
    <col width="52" customWidth="1" min="5" max="6"/>
    <col width="13" customWidth="1" min="7" max="7"/>
    <col width="11" customWidth="1" min="8" max="8"/>
    <col width="12" customWidth="1" min="9" max="9"/>
    <col width="26" customWidth="1" min="10" max="10"/>
  </cols>
  <sheetData>
    <row r="1" ht="24" customHeight="1">
      <c r="A1" s="1" t="inlineStr">
        <is>
          <t>ID</t>
        </is>
      </c>
      <c r="B1" s="1" t="inlineStr">
        <is>
          <t>Priorità</t>
        </is>
      </c>
      <c r="C1" s="1" t="inlineStr">
        <is>
          <t>Area</t>
        </is>
      </c>
      <c r="D1" s="1" t="inlineStr">
        <is>
          <t>Compito</t>
        </is>
      </c>
      <c r="E1" s="1" t="inlineStr">
        <is>
          <t>Cosa c’è da fare</t>
        </is>
      </c>
      <c r="F1" s="1" t="inlineStr">
        <is>
          <t>Situazione attuale</t>
        </is>
      </c>
      <c r="G1" s="1" t="inlineStr">
        <is>
          <t>Assegnato a</t>
        </is>
      </c>
      <c r="H1" s="1" t="inlineStr">
        <is>
          <t>Stato</t>
        </is>
      </c>
      <c r="I1" s="1" t="inlineStr">
        <is>
          <t>Data fine</t>
        </is>
      </c>
      <c r="J1" s="1" t="inlineStr">
        <is>
          <t>Note</t>
        </is>
      </c>
    </row>
    <row r="2" ht="131.25" customHeight="1">
      <c r="A2" s="9" t="inlineStr">
        <is>
          <t>T-01</t>
        </is>
      </c>
      <c r="B2" s="2" t="inlineStr">
        <is>
          <t>Must</t>
        </is>
      </c>
      <c r="C2" s="10" t="inlineStr">
        <is>
          <t>Requisiti ancora aperti</t>
        </is>
      </c>
      <c r="D2" s="9" t="inlineStr">
        <is>
          <t>Foto ufficiali dei luoghi (RF-02, RF-03, RNF-V02)</t>
        </is>
      </c>
      <c r="E2" s="2" t="inlineStr">
        <is>
          <t>Eseguire npm run scarica-foto, rivedere a mano le foto proposte e fare la verifica con la Soprintendenza (Fase 2, §6).</t>
        </is>
      </c>
      <c r="F2" s="2" t="inlineStr">
        <is>
          <t>Controllato il 16/10: nessuno dei 45 luoghi ha ancora una foto ufficiale, le schede mostrano il ritaglio della mappa. Dalla prova a secco, 37 luoghi su 39 hanno una foto libera su Wikimedia Commons; mancano fogolino-torrion-da-basso e calisio. La scelta automatica va corretta a mano (villa-margon propone una forma di formaggio, nettuno la stessa foto del Duomo). Il resto di RF-03 è chiuso: 16 affreschi e almeno una fonte per ogni luogo. Per il benvenuto sono già state scaricate da Wikimedia Commons 7 foto attuali, con autore e licenza (Buonconsiglio, Case Cazuffi-Rella, Palazzo Geremia, Palazzo Pretorio): si possono riusare nelle schede, aggiungendo la fonte.</t>
        </is>
      </c>
      <c r="G2" s="2" t="n"/>
      <c r="H2" s="2" t="inlineStr">
        <is>
          <t>Da fare</t>
        </is>
      </c>
      <c r="I2" s="2" t="n"/>
      <c r="J2" s="2" t="inlineStr">
        <is>
          <t>foto-da-scaricare.json, scarica-foto.js, fotoBenvenuto.js</t>
        </is>
      </c>
    </row>
    <row r="3" ht="65.65000000000001" customHeight="1">
      <c r="A3" s="9" t="inlineStr">
        <is>
          <t>T-02</t>
        </is>
      </c>
      <c r="B3" s="2" t="inlineStr">
        <is>
          <t>Must</t>
        </is>
      </c>
      <c r="C3" s="10" t="inlineStr">
        <is>
          <t>Requisiti ancora aperti</t>
        </is>
      </c>
      <c r="D3" s="9" t="inlineStr">
        <is>
          <t>Prove sui browser (RNF-PO01)</t>
        </is>
      </c>
      <c r="E3" s="2" t="inlineStr">
        <is>
          <t>Provare il sito su Edge, Firefox, Safari, iPhone e Android e compilare la tabella del §8.3 della verifica. Su telefono provare anche l’installazione come app e la bussola di “Cosa sto guardando?”.</t>
        </is>
      </c>
      <c r="F3" s="2" t="inlineStr">
        <is>
          <t>Il sito è stato provato solo su Chrome. Il 16/10 la prova tecnica è stata ripetuta sul sito pubblicato: l’app si installa (manifest e service worker a posto) e si apre anche senza rete. La tabella del protocollo (§8.3) è vuota. Ora che il sito ha HTTPS si può provare da telefono vero, anche la bussola e la fotocamera di “Cosa sto guardando?”.</t>
        </is>
      </c>
      <c r="G3" s="2" t="n"/>
      <c r="H3" s="2" t="inlineStr">
        <is>
          <t>Da fare</t>
        </is>
      </c>
      <c r="I3" s="2" t="n"/>
      <c r="J3" s="2" t="n"/>
    </row>
    <row r="4" ht="26.25" customHeight="1">
      <c r="A4" s="9" t="inlineStr">
        <is>
          <t>T-03</t>
        </is>
      </c>
      <c r="B4" s="2" t="inlineStr">
        <is>
          <t>Should</t>
        </is>
      </c>
      <c r="C4" s="10" t="inlineStr">
        <is>
          <t>Requisiti ancora aperti</t>
        </is>
      </c>
      <c r="D4" s="9" t="inlineStr">
        <is>
          <t>Test di usabilità con 5 persone (RNF-U03)</t>
        </is>
      </c>
      <c r="E4" s="2" t="inlineStr">
        <is>
          <t>Fare il test (protocollo nel §8.1 della verifica) e riportare i risultati nella tabella.</t>
        </is>
      </c>
      <c r="F4" s="2" t="inlineStr">
        <is>
          <t>Un nuovo utente deve trovare un luogo vicino in 30 s. Il protocollo c’è, la tabella dei risultati è vuota.</t>
        </is>
      </c>
      <c r="G4" s="2" t="n"/>
      <c r="H4" s="2" t="inlineStr">
        <is>
          <t>Da fare</t>
        </is>
      </c>
      <c r="I4" s="2" t="n"/>
      <c r="J4" s="2" t="n"/>
    </row>
    <row r="5" ht="91.90000000000001" customHeight="1">
      <c r="A5" s="9" t="inlineStr">
        <is>
          <t>T-04</t>
        </is>
      </c>
      <c r="B5" s="2" t="inlineStr">
        <is>
          <t>Should</t>
        </is>
      </c>
      <c r="C5" s="10" t="inlineStr">
        <is>
          <t>Requisiti ancora aperti</t>
        </is>
      </c>
      <c r="D5" s="9" t="inlineStr">
        <is>
          <t>Accessibilità, WCAG 2.1 AA (RNF-U04)</t>
        </is>
      </c>
      <c r="E5" s="2" t="inlineStr">
        <is>
          <t>Fare il controllo manuale con tastiera, screen reader, zoom al 200% e riduzione del movimento (§8.2 della verifica), rifare Lighthouse (obiettivo ≥ 90) e schiarire il testo dei pulsanti della lingua nel benvenuto (tema chiaro) e dei crediti della mappa, per arrivare a 4,5:1.</t>
        </is>
      </c>
      <c r="F5" s="2" t="inlineStr">
        <is>
          <t>Lighthouse 100 su 11 pagine è dichiarato dal team, ma non è stato rifatto (qui Lighthouse non c’è). Il 16/10, dopo i nuovi colori petrolio e oro, il contrasto è stato calcolato su 11 pagine in tema chiaro e scuro: tutto sopra 4,5:1 tranne i pulsanti della lingua nel benvenuto in tema chiaro (3,96:1 e 4,32:1) e i crediti della mappa in tema scuro, scritti a 10 px (circa 4:1). La galleria del benvenuto ha la pausa, parte ferma con “riduci movimento” e ogni foto ha il testo alternativo.</t>
        </is>
      </c>
      <c r="G5" s="2" t="n"/>
      <c r="H5" s="2" t="inlineStr">
        <is>
          <t>Da fare</t>
        </is>
      </c>
      <c r="I5" s="2" t="n"/>
      <c r="J5" s="2" t="n"/>
    </row>
    <row r="6" ht="52.5" customHeight="1">
      <c r="A6" s="9" t="inlineStr">
        <is>
          <t>T-05</t>
        </is>
      </c>
      <c r="B6" s="2" t="inlineStr">
        <is>
          <t>Could</t>
        </is>
      </c>
      <c r="C6" s="10" t="inlineStr">
        <is>
          <t>Requisiti ancora aperti</t>
        </is>
      </c>
      <c r="D6" s="9" t="inlineStr">
        <is>
          <t>Riconoscere un luogo con la fotocamera (RF-06)</t>
        </is>
      </c>
      <c r="E6" s="2" t="inlineStr">
        <is>
          <t>Decidere se basta la proposta da posizione e bussola o se serve riconoscere l’immagine (AI Service, Fase 3 §5.4); provare la bussola su un telefono vero.</t>
        </is>
      </c>
      <c r="F6" s="2" t="inlineStr">
        <is>
          <t>“Cosa sto guardando?” propone il luogo da posizione e bussola, non riconosce l’immagine (lo dice il README). In Piazza Duomo elenca i luoghi entro 150 m. La logica ha test unitari; l’evento della bussola non si è potuto simulare.</t>
        </is>
      </c>
      <c r="G6" s="2" t="n"/>
      <c r="H6" s="2" t="inlineStr">
        <is>
          <t>Da fare</t>
        </is>
      </c>
      <c r="I6" s="2" t="n"/>
      <c r="J6" s="2" t="inlineStr">
        <is>
          <t>Inquadra.jsx, geo.js</t>
        </is>
      </c>
    </row>
    <row r="7" ht="52.5" customHeight="1">
      <c r="A7" s="9" t="inlineStr">
        <is>
          <t>T-08</t>
        </is>
      </c>
      <c r="B7" s="2" t="n"/>
      <c r="C7" s="11" t="inlineStr">
        <is>
          <t>Da riverificare</t>
        </is>
      </c>
      <c r="D7" s="9" t="inlineStr">
        <is>
          <t>Risposta sotto 1 s con 100 utenti (RNF-P04)</t>
        </is>
      </c>
      <c r="E7" s="2" t="inlineStr">
        <is>
          <t>Rifare la prova con Docker e autocannon, alzando LIMITE_RICHIESTE oltre le 600 richieste al minuto per indirizzo IP.</t>
        </is>
      </c>
      <c r="F7" s="2" t="inlineStr">
        <is>
          <t>Il team dichiara il 99° percentile tra 109 e 280 ms con 100 connessioni e nessun errore. Non ancora riverificato. Il sito pubblicato su Google Cloud non va messo sotto carico: la prova si fa in locale con Docker.</t>
        </is>
      </c>
      <c r="G7" s="2" t="n"/>
      <c r="H7" s="2" t="inlineStr">
        <is>
          <t>Da fare</t>
        </is>
      </c>
      <c r="I7" s="2" t="n"/>
      <c r="J7" s="2" t="inlineStr">
        <is>
          <t>Script in tests/prestazioni/</t>
        </is>
      </c>
    </row>
    <row r="8" ht="78.75" customHeight="1">
      <c r="A8" s="9" t="inlineStr">
        <is>
          <t>T-62</t>
        </is>
      </c>
      <c r="B8" s="2" t="inlineStr">
        <is>
          <t>Should</t>
        </is>
      </c>
      <c r="C8" s="11" t="inlineStr">
        <is>
          <t>Ultime modifiche del sito</t>
        </is>
      </c>
      <c r="D8" s="9" t="inlineStr">
        <is>
          <t>Galleria del benvenuto: foto una alla volta e crediti tradotti</t>
        </is>
      </c>
      <c r="E8" s="2" t="inlineStr">
        <is>
          <t>Far scaricare le foto una alla volta (oggi partono tutte e 15 insieme, circa 1,1 MB) e tradurre i crediti: il nome del luogo e “Pubblico dominio” restano in italiano anche in inglese e tedesco.</t>
        </is>
      </c>
      <c r="F8" s="2" t="inlineStr">
        <is>
          <t>Provato il 16/10 con Chrome su rete simulata, primo accesso: su 4G lento (1,6 Mbit/s, processore 4 volte più lento) la schermata compare dopo 4,6 s; caricando solo la prima foto dopo 2,5 s. Su 4G normale 1,2 s. Le foto pesano al massimo 118 KB (RNF-P03 rispettato). Per il resto la galleria funziona: cambia ogni 5 secondi, ha la pausa, parte ferma con “riduci movimento” e mostra autore e licenza.</t>
        </is>
      </c>
      <c r="G8" s="2" t="n"/>
      <c r="H8" s="2" t="inlineStr">
        <is>
          <t>Da fare</t>
        </is>
      </c>
      <c r="I8" s="2" t="n"/>
      <c r="J8" s="2" t="inlineStr">
        <is>
          <t>GalleriaBenvenuto.jsx, fotoBenvenuto.js</t>
        </is>
      </c>
    </row>
    <row r="9" ht="105" customHeight="1">
      <c r="A9" s="9" t="inlineStr">
        <is>
          <t>T-63</t>
        </is>
      </c>
      <c r="B9" s="2" t="n"/>
      <c r="C9" s="11" t="inlineStr">
        <is>
          <t>Ultime modifiche del sito</t>
        </is>
      </c>
      <c r="D9" s="9" t="inlineStr">
        <is>
          <t>Sito pubblicato: aggiornarlo e sistemare il vecchio indirizzo</t>
        </is>
      </c>
      <c r="E9" s="2" t="inlineStr">
        <is>
          <t>Ripubblicare il sito con le ultime modifiche (sul server: git pull e docker compose --profile https up -d --build). Togliere o riparare l’indirizzo 34-154-238-197.sslip.io.</t>
        </is>
      </c>
      <c r="F9" s="2" t="inlineStr">
        <is>
          <t>Controllato il 16/10: https://discover-tridentum.duckdns.org è fermo alla versione del 15/10 pomeriggio, senza la galleria del benvenuto e con il pulsante satellite ancora con la scritta. Il vecchio indirizzo 34-154-238-197.sslip.io risponde con un errore TLS e il suo HTTP rimanda proprio lì. Il resto è a posto: certificato Let’s Encrypt valido fino al 13/01/2027, HSTS, redirect da HTTP, porte 3000 e 5432 non raggiungibili dall’esterno, posta di prova non esposta, indirizzo per la privacy impostato, app installabile.</t>
        </is>
      </c>
      <c r="G9" s="2" t="n"/>
      <c r="H9" s="2" t="inlineStr">
        <is>
          <t>Da fare</t>
        </is>
      </c>
      <c r="I9" s="2" t="n"/>
      <c r="J9" s="2" t="inlineStr">
        <is>
          <t>docker-compose.yml, infrastruttura/Caddyfile</t>
        </is>
      </c>
    </row>
    <row r="10" ht="78.75" customHeight="1">
      <c r="A10" s="9" t="inlineStr">
        <is>
          <t>T-64</t>
        </is>
      </c>
      <c r="B10" s="2" t="n"/>
      <c r="C10" s="11" t="inlineStr">
        <is>
          <t>Ultime modifiche del sito</t>
        </is>
      </c>
      <c r="D10" s="9" t="inlineStr">
        <is>
          <t>Chiave MapTiler: limitarla al sito</t>
        </is>
      </c>
      <c r="E10" s="2" t="inlineStr">
        <is>
          <t>Su cloud.maptiler.com limitare la chiave ai domini del sito (discover-tridentum.duckdns.org e localhost) e tenere d’occhio l’uso del piano gratuito. Se si limita per dominio, cambiare anche la Referrer-Policy del server (oggi no-referrer) in strict-origin-when-cross-origin e provare che le tessere si vedono ancora.</t>
        </is>
      </c>
      <c r="F10" s="2" t="inlineStr">
        <is>
          <t>La chiave è scritta in frontend/src/lib/sfondo.js e il repository GitHub è pubblico: chiunque può usarla. Se la quota finisce o la chiave viene bloccata la mappa non si vede: non c’è un ripiego automatico su OpenStreetMap (c’è solo con VITE_MAPTILER_KEY=nessuna). Il 16/10 con la chiave le tessere arrivano e le regole di sicurezza (CSP) le lasciano passare, comprese quelle satellitari di Esri.</t>
        </is>
      </c>
      <c r="G10" s="2" t="inlineStr">
        <is>
          <t>Pietro</t>
        </is>
      </c>
      <c r="H10" s="2" t="inlineStr">
        <is>
          <t>Da fare</t>
        </is>
      </c>
      <c r="I10" s="2" t="n"/>
      <c r="J10" s="2" t="inlineStr">
        <is>
          <t>sfondo.js, app.js</t>
        </is>
      </c>
    </row>
    <row r="11" ht="52.5" customHeight="1">
      <c r="A11" s="9" t="inlineStr">
        <is>
          <t>T-26</t>
        </is>
      </c>
      <c r="B11" s="2" t="n"/>
      <c r="C11" s="12" t="inlineStr">
        <is>
          <t>Documentazione</t>
        </is>
      </c>
      <c r="D11" s="9" t="inlineStr">
        <is>
          <t>Fase 2 · Specifiche dei requisiti (v0.5)</t>
        </is>
      </c>
      <c r="E11" s="2" t="inlineStr">
        <is>
          <t>Aggiornare lo stato dei requisiti, i “Punti aperti” (§6, per esempio RF-06) e le matrici di tracciabilità; aggiungere scarica i miei dati, cambio del nome, conservazione automatica e importazione dei dati.</t>
        </is>
      </c>
      <c r="F11" s="2" t="inlineStr">
        <is>
          <t>Il documento è alla v0.5 (14/10), che aggiunge solo il tedesco a RNF-U05. Non riflette il resto di quanto realizzato (stato dei requisiti, “Punti aperti” al §6, matrici di tracciabilità). Il CONTRIBUTING chiede di aggiornare le matrici quando un requisito cambia.</t>
        </is>
      </c>
      <c r="G11" s="2" t="n"/>
      <c r="H11" s="2" t="inlineStr">
        <is>
          <t>Da fare</t>
        </is>
      </c>
      <c r="I11" s="2" t="n"/>
      <c r="J11" s="2" t="n"/>
    </row>
    <row r="12" ht="65.65000000000001" customHeight="1">
      <c r="A12" s="9" t="inlineStr">
        <is>
          <t>T-27</t>
        </is>
      </c>
      <c r="B12" s="2" t="n"/>
      <c r="C12" s="12" t="inlineStr">
        <is>
          <t>Documentazione</t>
        </is>
      </c>
      <c r="D12" s="9" t="inlineStr">
        <is>
          <t>Fase 3 · Architettura (v0.2)</t>
        </is>
      </c>
      <c r="E12" s="2" t="inlineStr">
        <is>
          <t>Correggere il §8 (il proxy HTTPS ora esiste, con il profilo https e Caddy; l’hosting è Google Cloud) e registrare le nuove decisioni: proxy HTTPS, traduzioni salvate nei dati, service worker, pulizia dei dati scaduti, posta con Brevo, vista satellitare di Esri.</t>
        </is>
      </c>
      <c r="F12" s="2" t="inlineStr">
        <is>
          <t>D-07 è stato aggiornato il 14/10 per MapTiler. Il §8 dice ancora che il proxy HTTPS “resta da configurare con l’hosting” e tra i punti aperti (§10) c’è ancora “fornitore, dominio e certificato HTTPS”, ma il sito è online su Google Cloud (Compute Engine) con Caddy e certificato Let’s Encrypt su discover-tridentum.duckdns.org.</t>
        </is>
      </c>
      <c r="G12" s="2" t="n"/>
      <c r="H12" s="2" t="inlineStr">
        <is>
          <t>Da fare</t>
        </is>
      </c>
      <c r="I12" s="2" t="n"/>
      <c r="J12" s="2" t="n"/>
    </row>
    <row r="13" ht="65.65000000000001" customHeight="1">
      <c r="A13" s="9" t="inlineStr">
        <is>
          <t>T-28</t>
        </is>
      </c>
      <c r="B13" s="2" t="n"/>
      <c r="C13" s="12" t="inlineStr">
        <is>
          <t>Documentazione</t>
        </is>
      </c>
      <c r="D13" s="9" t="inlineStr">
        <is>
          <t>Verifica dei requisiti non funzionali (v0.1)</t>
        </is>
      </c>
      <c r="E13" s="2" t="inlineStr">
        <is>
          <t>Sistemare i rimandi a “Cose mancanti” (v0.1) e alla checklist GDPR, che ora sono nel file compiti.xlsx, e ripetere la misura del tempo di apertura della scheda con le mappe vere.</t>
        </is>
      </c>
      <c r="F13" s="2" t="inlineStr">
        <is>
          <t>I due rimandi sono link rotti (cose-mancanti.md e checklist-gdpr.md non esistono più). Il 16/10 la stessa prova del documento (tocco su un luogo dell’elenco, rete simulata) ha dato 0,6–0,7 s, in linea con il documento; il 10/10 aveva dato 1,0–1,5 s: da ripetere con mappe e telefono veri.</t>
        </is>
      </c>
      <c r="G13" s="2" t="n"/>
      <c r="H13" s="2" t="inlineStr">
        <is>
          <t>Da fare</t>
        </is>
      </c>
      <c r="I13" s="2" t="n"/>
      <c r="J13" s="2" t="n"/>
    </row>
    <row r="14" ht="26.25" customHeight="1">
      <c r="A14" s="9" t="inlineStr">
        <is>
          <t>T-45</t>
        </is>
      </c>
      <c r="B14" s="2" t="inlineStr">
        <is>
          <t>Must</t>
        </is>
      </c>
      <c r="C14" s="13" t="inlineStr">
        <is>
          <t>GDPR · compiti del titolare</t>
        </is>
      </c>
      <c r="D14" s="9" t="inlineStr">
        <is>
          <t>Rettifica dell’e-mail, limitazione e opposizione</t>
        </is>
      </c>
      <c r="E14" s="2" t="inlineStr">
        <is>
          <t>Definire chi risponde alle richieste e come, entro 30 giorni, all’indirizzo indicato nell’informativa.</t>
        </is>
      </c>
      <c r="F14" s="2" t="inlineStr">
        <is>
          <t>Funzionano solo su richiesta, non c’è una funzione nel sito.</t>
        </is>
      </c>
      <c r="G14" s="2" t="n"/>
      <c r="H14" s="2" t="inlineStr">
        <is>
          <t>Da fare</t>
        </is>
      </c>
      <c r="I14" s="2" t="n"/>
      <c r="J14" s="2" t="inlineStr">
        <is>
          <t>art. 16, 18, 21 · art. 12.3</t>
        </is>
      </c>
    </row>
    <row r="15" ht="65.65000000000001" customHeight="1">
      <c r="A15" s="9" t="inlineStr">
        <is>
          <t>T-57</t>
        </is>
      </c>
      <c r="B15" s="2" t="inlineStr">
        <is>
          <t>Must</t>
        </is>
      </c>
      <c r="C15" s="13" t="inlineStr">
        <is>
          <t>GDPR · compiti del titolare</t>
        </is>
      </c>
      <c r="D15" s="9" t="inlineStr">
        <is>
          <t>Accordi con i fornitori</t>
        </is>
      </c>
      <c r="E15" s="2" t="inlineStr">
        <is>
          <t>Firmare gli accordi con i fornitori che trattano dati per conto del titolare: Google Cloud (hosting) e Brevo (posta). Poi aggiornare la data dell’informativa.</t>
        </is>
      </c>
      <c r="F15" s="2" t="inlineStr">
        <is>
          <t>I fornitori in uso sono Google Cloud (hosting) e Brevo (posta); MapTiler ed Esri ricevono l’indirizzo IP per le mappe e sono nominati nell’informativa, che per la posta dice solo “il servizio di posta configurato per il sito”. L’informativa porta ancora la data del 10 ottobre, anche se il testo è cambiato il 14 e il 15.</t>
        </is>
      </c>
      <c r="G15" s="2" t="n"/>
      <c r="H15" s="2" t="inlineStr">
        <is>
          <t>Da fare</t>
        </is>
      </c>
      <c r="I15" s="2" t="n"/>
      <c r="J15" s="2" t="inlineStr">
        <is>
          <t>art. 28</t>
        </is>
      </c>
    </row>
    <row r="16" ht="26.25" customHeight="1">
      <c r="A16" s="9" t="inlineStr">
        <is>
          <t>T-58</t>
        </is>
      </c>
      <c r="B16" s="2" t="inlineStr">
        <is>
          <t>Must</t>
        </is>
      </c>
      <c r="C16" s="13" t="inlineStr">
        <is>
          <t>GDPR · compiti del titolare</t>
        </is>
      </c>
      <c r="D16" s="9" t="inlineStr">
        <is>
          <t>Registro delle attività di trattamento</t>
        </is>
      </c>
      <c r="E16" s="2" t="inlineStr">
        <is>
          <t>Compilare il registro.</t>
        </is>
      </c>
      <c r="F16" s="2" t="n"/>
      <c r="G16" s="2" t="n"/>
      <c r="H16" s="2" t="inlineStr">
        <is>
          <t>Da fare</t>
        </is>
      </c>
      <c r="I16" s="2" t="n"/>
      <c r="J16" s="2" t="inlineStr">
        <is>
          <t>art. 30</t>
        </is>
      </c>
    </row>
    <row r="17" ht="26.25" customHeight="1">
      <c r="A17" s="9" t="inlineStr">
        <is>
          <t>T-59</t>
        </is>
      </c>
      <c r="B17" s="2" t="inlineStr">
        <is>
          <t>Must</t>
        </is>
      </c>
      <c r="C17" s="13" t="inlineStr">
        <is>
          <t>GDPR · compiti del titolare</t>
        </is>
      </c>
      <c r="D17" s="9" t="inlineStr">
        <is>
          <t>Procedura per le violazioni di dati</t>
        </is>
      </c>
      <c r="E17" s="2" t="inlineStr">
        <is>
          <t>Scrivere chi se ne accorge e chi avvisa il Garante entro 72 ore.</t>
        </is>
      </c>
      <c r="F17" s="2" t="n"/>
      <c r="G17" s="2" t="n"/>
      <c r="H17" s="2" t="inlineStr">
        <is>
          <t>Da fare</t>
        </is>
      </c>
      <c r="I17" s="2" t="n"/>
      <c r="J17" s="2" t="inlineStr">
        <is>
          <t>art. 33, 34</t>
        </is>
      </c>
    </row>
    <row r="18" ht="39.4" customHeight="1">
      <c r="A18" s="9" t="inlineStr">
        <is>
          <t>T-60</t>
        </is>
      </c>
      <c r="B18" s="2" t="inlineStr">
        <is>
          <t>Must</t>
        </is>
      </c>
      <c r="C18" s="13" t="inlineStr">
        <is>
          <t>GDPR · compiti del titolare</t>
        </is>
      </c>
      <c r="D18" s="9" t="inlineStr">
        <is>
          <t>Copie di sicurezza del database</t>
        </is>
      </c>
      <c r="E18" s="2" t="inlineStr">
        <is>
          <t>Impostare i backup con gli stessi tempi di conservazione dei dati.</t>
        </is>
      </c>
      <c r="F18" s="2" t="inlineStr">
        <is>
          <t>Sul server i dati stanno nei volumi Docker “database” e “foto”: vanno salvati entrambi (per esempio con pg_dump e una copia del volume delle foto).</t>
        </is>
      </c>
      <c r="G18" s="2" t="n"/>
      <c r="H18" s="2" t="inlineStr">
        <is>
          <t>Da fare</t>
        </is>
      </c>
      <c r="I18" s="2" t="n"/>
      <c r="J18" s="2" t="inlineStr">
        <is>
          <t>art. 5.1.e, 32</t>
        </is>
      </c>
    </row>
    <row r="19" ht="26.25" customHeight="1">
      <c r="A19" s="9" t="inlineStr">
        <is>
          <t>T-61</t>
        </is>
      </c>
      <c r="B19" s="2" t="inlineStr">
        <is>
          <t>Must</t>
        </is>
      </c>
      <c r="C19" s="13" t="inlineStr">
        <is>
          <t>GDPR · compiti del titolare</t>
        </is>
      </c>
      <c r="D19" s="9" t="inlineStr">
        <is>
          <t>Valutazione d’impatto (DPIA)</t>
        </is>
      </c>
      <c r="E19" s="2" t="inlineStr">
        <is>
          <t>Confermare che non serve: non ci sono trattamenti su larga scala di dati particolari né profilazione.</t>
        </is>
      </c>
      <c r="F19" s="2" t="n"/>
      <c r="G19" s="2" t="n"/>
      <c r="H19" s="2" t="inlineStr">
        <is>
          <t>Da fare</t>
        </is>
      </c>
      <c r="I19" s="2" t="n"/>
      <c r="J19" s="2" t="inlineStr">
        <is>
          <t>art. 35</t>
        </is>
      </c>
    </row>
  </sheetData>
  <autoFilter ref="A1:J19"/>
  <conditionalFormatting sqref="H2:H19">
    <cfRule type="expression" priority="1" dxfId="2">
      <formula>$H2="Da fare"</formula>
    </cfRule>
    <cfRule type="expression" priority="2" dxfId="1">
      <formula>$H2="In corso"</formula>
    </cfRule>
    <cfRule type="expression" priority="3" dxfId="0">
      <formula>$H2="Fatto"</formula>
    </cfRule>
  </conditionalFormatting>
  <dataValidations count="2">
    <dataValidation sqref="G2:G19" showDropDown="0" showInputMessage="0" showErrorMessage="0" allowBlank="1" type="list">
      <formula1>"Manuel,Marco,Pietro"</formula1>
    </dataValidation>
    <dataValidation sqref="H2:H19" showDropDown="0" showInputMessage="0" showErrorMessage="0" allowBlank="0" type="list">
      <formula1>"Da fare,In corso,Fatto"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4.25"/>
  <cols>
    <col width="24" customWidth="1" min="1" max="1"/>
    <col width="12" customWidth="1" min="2" max="5"/>
  </cols>
  <sheetData>
    <row r="1" ht="18" customHeight="1">
      <c r="A1" s="3" t="inlineStr">
        <is>
          <t>Compiti del progetto</t>
        </is>
      </c>
    </row>
    <row r="2">
      <c r="A2" s="4" t="inlineStr">
        <is>
          <t>Discover Tridentum · dalle vecchie "Cose mancanti" (v0.2) e "Checklist GDPR" (v0.1)</t>
        </is>
      </c>
    </row>
    <row r="3">
      <c r="A3" s="14" t="inlineStr">
        <is>
          <t>Aggiornato il 16/10/2026 dopo un nuovo controllo del sito (versione corrente e sito pubblicato).</t>
        </is>
      </c>
    </row>
    <row r="4">
      <c r="A4" s="5" t="n"/>
      <c r="B4" s="5" t="inlineStr">
        <is>
          <t>Da fare</t>
        </is>
      </c>
      <c r="C4" s="5" t="inlineStr">
        <is>
          <t>In corso</t>
        </is>
      </c>
      <c r="D4" s="5" t="inlineStr">
        <is>
          <t>Fatto</t>
        </is>
      </c>
      <c r="E4" s="5" t="inlineStr">
        <is>
          <t>Totale</t>
        </is>
      </c>
    </row>
    <row r="5" customFormat="1" s="6">
      <c r="A5" s="6" t="inlineStr">
        <is>
          <t>Tutti i compiti</t>
        </is>
      </c>
      <c r="B5" s="7">
        <f>COUNTIF(Compiti!$H$2:$H$19,"Da fare")</f>
        <v/>
      </c>
      <c r="C5" s="7">
        <f>COUNTIF(Compiti!$H$2:$H$19,"In corso")</f>
        <v/>
      </c>
      <c r="D5" s="7">
        <f>COUNTIF(Compiti!$H$2:$H$19,"Fatto")</f>
        <v/>
      </c>
      <c r="E5" s="7">
        <f>SUM(B5:D5)</f>
        <v/>
      </c>
    </row>
    <row r="7" customFormat="1" s="6">
      <c r="A7" s="6" t="inlineStr">
        <is>
          <t>Per persona</t>
        </is>
      </c>
    </row>
    <row r="8">
      <c r="A8" t="inlineStr">
        <is>
          <t>Manuel</t>
        </is>
      </c>
      <c r="B8" s="8">
        <f>COUNTIFS(Compiti!$H$2:$H$19,"Da fare",Compiti!$G$2:$G$19,"Manuel")</f>
        <v/>
      </c>
      <c r="C8" s="8">
        <f>COUNTIFS(Compiti!$H$2:$H$19,"In corso",Compiti!$G$2:$G$19,"Manuel")</f>
        <v/>
      </c>
      <c r="D8" s="8">
        <f>COUNTIFS(Compiti!$H$2:$H$19,"Fatto",Compiti!$G$2:$G$19,"Manuel")</f>
        <v/>
      </c>
      <c r="E8" s="8">
        <f>SUM(B8:D8)</f>
        <v/>
      </c>
    </row>
    <row r="9">
      <c r="A9" t="inlineStr">
        <is>
          <t>Marco</t>
        </is>
      </c>
      <c r="B9" s="8">
        <f>COUNTIFS(Compiti!$H$2:$H$19,"Da fare",Compiti!$G$2:$G$19,"Marco")</f>
        <v/>
      </c>
      <c r="C9" s="8">
        <f>COUNTIFS(Compiti!$H$2:$H$19,"In corso",Compiti!$G$2:$G$19,"Marco")</f>
        <v/>
      </c>
      <c r="D9" s="8">
        <f>COUNTIFS(Compiti!$H$2:$H$19,"Fatto",Compiti!$G$2:$G$19,"Marco")</f>
        <v/>
      </c>
      <c r="E9" s="8">
        <f>SUM(B9:D9)</f>
        <v/>
      </c>
    </row>
    <row r="10">
      <c r="A10" t="inlineStr">
        <is>
          <t>Pietro</t>
        </is>
      </c>
      <c r="B10" s="8">
        <f>COUNTIFS(Compiti!$H$2:$H$19,"Da fare",Compiti!$G$2:$G$19,"Pietro")</f>
        <v/>
      </c>
      <c r="C10" s="8">
        <f>COUNTIFS(Compiti!$H$2:$H$19,"In corso",Compiti!$G$2:$G$19,"Pietro")</f>
        <v/>
      </c>
      <c r="D10" s="8">
        <f>COUNTIFS(Compiti!$H$2:$H$19,"Fatto",Compiti!$G$2:$G$19,"Pietro")</f>
        <v/>
      </c>
      <c r="E10" s="8">
        <f>SUM(B10:D10)</f>
        <v/>
      </c>
    </row>
    <row r="11">
      <c r="A11" t="inlineStr">
        <is>
          <t>Non assegnati</t>
        </is>
      </c>
      <c r="B11" s="8">
        <f>COUNTIFS(Compiti!$H$2:$H$19,"Da fare",Compiti!$G$2:$G$19,"")</f>
        <v/>
      </c>
      <c r="C11" s="8">
        <f>COUNTIFS(Compiti!$H$2:$H$19,"In corso",Compiti!$G$2:$G$19,"")</f>
        <v/>
      </c>
      <c r="D11" s="8">
        <f>COUNTIFS(Compiti!$H$2:$H$19,"Fatto",Compiti!$G$2:$G$19,"")</f>
        <v/>
      </c>
      <c r="E11" s="8">
        <f>SUM(B11:D11)</f>
        <v/>
      </c>
    </row>
    <row r="13" customFormat="1" s="6">
      <c r="A13" s="6" t="inlineStr">
        <is>
          <t>Per priorità</t>
        </is>
      </c>
    </row>
    <row r="14">
      <c r="A14" t="inlineStr">
        <is>
          <t>Must</t>
        </is>
      </c>
      <c r="B14" s="8">
        <f>COUNTIFS(Compiti!$H$2:$H$19,"Da fare",Compiti!$B$2:$B$19,"Must")</f>
        <v/>
      </c>
      <c r="C14" s="8">
        <f>COUNTIFS(Compiti!$H$2:$H$19,"In corso",Compiti!$B$2:$B$19,"Must")</f>
        <v/>
      </c>
      <c r="D14" s="8">
        <f>COUNTIFS(Compiti!$H$2:$H$19,"Fatto",Compiti!$B$2:$B$19,"Must")</f>
        <v/>
      </c>
      <c r="E14" s="8">
        <f>SUM(B14:D14)</f>
        <v/>
      </c>
    </row>
    <row r="15">
      <c r="A15" t="inlineStr">
        <is>
          <t>Should</t>
        </is>
      </c>
      <c r="B15" s="8">
        <f>COUNTIFS(Compiti!$H$2:$H$19,"Da fare",Compiti!$B$2:$B$19,"Should")</f>
        <v/>
      </c>
      <c r="C15" s="8">
        <f>COUNTIFS(Compiti!$H$2:$H$19,"In corso",Compiti!$B$2:$B$19,"Should")</f>
        <v/>
      </c>
      <c r="D15" s="8">
        <f>COUNTIFS(Compiti!$H$2:$H$19,"Fatto",Compiti!$B$2:$B$19,"Should")</f>
        <v/>
      </c>
      <c r="E15" s="8">
        <f>SUM(B15:D15)</f>
        <v/>
      </c>
    </row>
    <row r="16">
      <c r="A16" t="inlineStr">
        <is>
          <t>Could</t>
        </is>
      </c>
      <c r="B16" s="8">
        <f>COUNTIFS(Compiti!$H$2:$H$19,"Da fare",Compiti!$B$2:$B$19,"Could")</f>
        <v/>
      </c>
      <c r="C16" s="8">
        <f>COUNTIFS(Compiti!$H$2:$H$19,"In corso",Compiti!$B$2:$B$19,"Could")</f>
        <v/>
      </c>
      <c r="D16" s="8">
        <f>COUNTIFS(Compiti!$H$2:$H$19,"Fatto",Compiti!$B$2:$B$19,"Could")</f>
        <v/>
      </c>
      <c r="E16" s="8">
        <f>SUM(B16:D16)</f>
        <v/>
      </c>
    </row>
    <row r="17">
      <c r="A17" t="inlineStr">
        <is>
          <t>Non indicata</t>
        </is>
      </c>
      <c r="B17" s="8">
        <f>COUNTIFS(Compiti!$H$2:$H$19,"Da fare",Compiti!$B$2:$B$19,"")</f>
        <v/>
      </c>
      <c r="C17" s="8">
        <f>COUNTIFS(Compiti!$H$2:$H$19,"In corso",Compiti!$B$2:$B$19,"")</f>
        <v/>
      </c>
      <c r="D17" s="8">
        <f>COUNTIFS(Compiti!$H$2:$H$19,"Fatto",Compiti!$B$2:$B$19,"")</f>
        <v/>
      </c>
      <c r="E17" s="8">
        <f>SUM(B17:D17)</f>
        <v/>
      </c>
    </row>
    <row r="18" customFormat="1" s="4"/>
    <row r="19">
      <c r="A19" s="4" t="inlineStr">
        <is>
          <t>Si scrive solo nel foglio "Compiti": Assegnato a, Stato (Da fare rosso, In corso giallo, Fatto verde), Data fine e Note. I compiti già fatti sono stati tolti dall’elenco (restano nella cronologia di Git).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2026-10-14T11:48:36Z</dcterms:created>
  <dcterms:modified xsi:type="dcterms:W3CDTF">2026-10-16T12:05:29Z</dcterms:modified>
  <cp:lastModifiedBy>Bulla, Manuel</cp:lastModifiedBy>
</cp:coreProperties>
</file>