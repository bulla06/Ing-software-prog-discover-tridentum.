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Compiti" state="visible" r:id="rId4"/>
    <sheet sheetId="2" name="Riepilogo" state="visible" r:id="rId5"/>
  </sheets>
  <calcPr calcId="171027"/>
</workbook>
</file>

<file path=xl/sharedStrings.xml><?xml version="1.0" encoding="utf-8"?>
<sst xmlns="http://schemas.openxmlformats.org/spreadsheetml/2006/main" count="700" uniqueCount="231">
  <si>
    <t>ID</t>
  </si>
  <si>
    <t>Sezione</t>
  </si>
  <si>
    <t>Requisito / voce</t>
  </si>
  <si>
    <t>Priorità</t>
  </si>
  <si>
    <t>Tipo</t>
  </si>
  <si>
    <t>Cosa c’è da fare</t>
  </si>
  <si>
    <t>Riferimenti</t>
  </si>
  <si>
    <t>Assegnato a</t>
  </si>
  <si>
    <t>Stato</t>
  </si>
  <si>
    <t>Data fine</t>
  </si>
  <si>
    <t>Note</t>
  </si>
  <si>
    <t>T-01</t>
  </si>
  <si>
    <t>Ancora aperti · Must</t>
  </si>
  <si>
    <t>RF-02, RF-03, RNF-V02 Foto dei luoghi e Soprintendenza</t>
  </si>
  <si>
    <t>Must</t>
  </si>
  <si>
    <t>Parziale</t>
  </si>
  <si>
    <t>Nessuno dei 45 luoghi ha ancora una foto ufficiale: le schede mostrano il ritaglio della mappa. Lo script npm run scarica-foto c'è ma non è stato eseguito (non esiste nessun pacchetto con foto.json). Dalla prova a secco (npm run scarica-foto -- --prova) risulta che da questo computer Wikimedia Commons è raggiungibile e che per 37 luoghi su 39 esiste una foto con licenza libera; restano senza fogolino-torrion-da-basso e calisio. La scelta automatica però va rivista a mano prima del commit: per esempio propone per villa-margon la foto di una forma di formaggio e per nettuno la stessa foto del Duomo. La verifica con la Soprintendenza (Fase 2, §6) è ancora da fare. Il resto di RF-03 è chiuso: 16 affreschi (la Fase 4 ne chiede almeno 15), nessuna nota "da verificare" nei testi e almeno una fonte per ogni luogo.</t>
  </si>
  <si>
    <t>foto-da-scaricare.json, scarica-foto.js</t>
  </si>
  <si>
    <t/>
  </si>
  <si>
    <t>Da fare</t>
  </si>
  <si>
    <t>T-02</t>
  </si>
  <si>
    <t>RNF-PO01 Compatibilità con i browser</t>
  </si>
  <si>
    <t>Senza evidenza</t>
  </si>
  <si>
    <t>Il sito è stato provato soltanto su Chrome (browser integrato e Chrome headless). Non c'è traccia di prove su Edge, Firefox, Safari, iPhone e Android: la tabella del protocollo (§8.3 della verifica) è vuota. Su un telefono vanno provate anche l'installazione come app e la bussola di "Cosa sto guardando?".</t>
  </si>
  <si>
    <t>T-03</t>
  </si>
  <si>
    <t>Ancora aperti · Should</t>
  </si>
  <si>
    <t>RNF-U03 Un nuovo utente trova un POI vicino in 30 s</t>
  </si>
  <si>
    <t>Should</t>
  </si>
  <si>
    <t>Il test di usabilità con 5 persone non è stato fatto: c'è il protocollo (§8.1 della verifica), ma la tabella dei risultati è vuota.</t>
  </si>
  <si>
    <t>T-04</t>
  </si>
  <si>
    <t>RNF-U04 Accessibilità (WCAG 2.1 AA, Lighthouse ≥ 90)</t>
  </si>
  <si>
    <t>Il controllo manuale con tastiera, screen reader, zoom al 200% e riduzione del movimento non è stato fatto (protocollo nel §8.2 della verifica). Lighthouse 100 su 11 pagine è dichiarato dal team, ma non l'ho rifatto (qui non è installato). Un controllo di base sul DOM di 19 pagine non ha trovato problemi: immagini con testo alternativo, controlli con un nome, titoli in ordine, nessun id duplicato.</t>
  </si>
  <si>
    <t>T-05</t>
  </si>
  <si>
    <t>Ancora aperti · Could</t>
  </si>
  <si>
    <t>RF-06 Riconoscere un luogo con la fotocamera</t>
  </si>
  <si>
    <t>Could</t>
  </si>
  <si>
    <t>"Cosa sto guardando?" mostra la fotocamera e propone il luogo che si ha davanti usando posizione e bussola, poi apre la scheda; non riconosce l'immagine (l'AI Service della Fase 3 §5.4 non c'è e il README lo dice). Provato in Chrome headless in Piazza Duomo, dove la bussola non c'è: elenca i luoghi entro 150 m (Fontana del Nettuno a 30 m, Cattedrale di San Vigilio, gli affreschi del Trecento nel Duomo). Con la bussola la scelta dipende dalla direzione: la logica ha test unitari, ma l'evento della bussola non si è potuto simulare.</t>
  </si>
  <si>
    <t>Inquadra.jsx, geo.js</t>
  </si>
  <si>
    <t>T-06</t>
  </si>
  <si>
    <t>Dichiarati dal team, da riverificare</t>
  </si>
  <si>
    <t>RNF-S01 Tutto il traffico in HTTPS</t>
  </si>
  <si>
    <t>Da riverificare</t>
  </si>
  <si>
    <t>Il team dichiara: Proxy Caddy provato in locale: redirect 308, HTTP/2, HSTS, cookie Secure, porta 3000 chiusa. Controllato finora: docker-compose.yml e Caddyfile sono coerenti con quanto dichiarato; il server manda HSTS e compressione gzip. Resta da provare sul server pubblicato, con il suo dominio.</t>
  </si>
  <si>
    <t>T-07</t>
  </si>
  <si>
    <t>RNF-PO03 Avvio con un solo comando</t>
  </si>
  <si>
    <t>Il team dichiara: docker compose up --build senza preparare niente: 45 luoghi caricati, segreto dei token creato da solo. Controllato finora: npm ci --dry-run sul lockfile committato riesce (è il passo del Dockerfile), la build di produzione funziona e il segreto si crea da solo in produzione (config.js).</t>
  </si>
  <si>
    <t>T-08</t>
  </si>
  <si>
    <t>RNF-P04 Risposta sotto 1 s con 100 utenti</t>
  </si>
  <si>
    <t>Il team dichiara: 99° percentile tra 109 e 280 ms con 100 connessioni, nessun errore (Docker e PostgreSQL). Controllato finora: Niente: servono Docker e autocannon, e il limite di 600 richieste al minuto per indirizzo IP andrebbe alzato con LIMITE_RICHIESTE. Gli script sono in tests/prestazioni/.</t>
  </si>
  <si>
    <t>T-09</t>
  </si>
  <si>
    <t>Chiusi dalla v0.1</t>
  </si>
  <si>
    <t>RNF-U01 Responsive da 360 px</t>
  </si>
  <si>
    <t>Chiuso</t>
  </si>
  <si>
    <t>Le 5 schede dell'amministrazione vanno a capo su due righe. Verifica: Browser integrato a 360 px su 25 schermate (17 da visitatore, 8 con l'account amministratore di prova): la larghezza della pagina è sempre 360 px</t>
  </si>
  <si>
    <t>Fatto</t>
  </si>
  <si>
    <t>T-10</t>
  </si>
  <si>
    <t>RNF-S04, RF-13, UC-08 Eliminazione dell'account</t>
  </si>
  <si>
    <t>I ricordi non pubblicati si cancellano sempre, con le foto; "in forma anonima" vale solo per quelli pubblicati; il testo della finestra lo dice. Verifica: Codice di DELETE /api/me e test del backend superati</t>
  </si>
  <si>
    <t>T-11</t>
  </si>
  <si>
    <t>RNF-S03 Accesso per ruolo</t>
  </si>
  <si>
    <t>ruoli.test.js prova 29 rotte riservate senza accesso (401), con un ruolo insufficiente (403) e con quello giusto. Verifica: Le 29 rotte protette del codice sono tutte nel test; i test passano</t>
  </si>
  <si>
    <t>T-12</t>
  </si>
  <si>
    <t>RNF-U05 Italiano e inglese</t>
  </si>
  <si>
    <t>Schede, itinerari, tradizioni, piatti e informativa anche in inglese (?lingua=en). Verifica: Dal vivo in inglese: scheda, affresco, itinerario, Scopri e informativa. Nell'API nessuna sintesi o storia resta in italiano; uguali all'italiano restano solo 8 nomi propri (per esempio "Palazzo Thun")</t>
  </si>
  <si>
    <t>T-13</t>
  </si>
  <si>
    <t>RNF-P01 Mappa in meno di 3 s su 4G</t>
  </si>
  <si>
    <t>JavaScript iniziale a 168 kB compressi, pagine caricate quando servono, compressione gzip. Verifica: Chrome con processore 4 volte più lento e mappe vere di OpenStreetMap: luoghi sulla mappa in 2,4 s con il 4G lento (da 2,26 a 2,47 s su 5 prove) e in 1,4 s con il 4G</t>
  </si>
  <si>
    <t>T-14</t>
  </si>
  <si>
    <t>RNF-P02 Scheda in meno di 1,5 s</t>
  </si>
  <si>
    <t>Il codice della scheda si scarica in anticipo appena la mappa ha i luoghi. Verifica: Stesse condizioni, dal tocco al titolo della scheda: mediana 1,2 s (da 1,03 a 1,49 s). Dentro il limite, ma con poco margine; il valore del documento di verifica (0,65–0,75 s) non si è riprodotto</t>
  </si>
  <si>
    <t>T-15</t>
  </si>
  <si>
    <t>RF-08 Itinerario su misura</t>
  </si>
  <si>
    <t>"Crea il tuo itinerario": tempo disponibile, tema e punto di partenza (posizione o Piazza Duomo). Verifica: API: 120 minuti dal Duomo danno 10 tappe, da un punto lontano risponde 404 (nessun itinerario possibile); la pagina dell'itinerario su misura si apre a 360 px senza problemi</t>
  </si>
  <si>
    <t>T-16</t>
  </si>
  <si>
    <t>RF-23 Foto della community come livelli del gioco</t>
  </si>
  <si>
    <t>Il moderatore sceglie se la foto diventa un livello di "Dov'era?" (solo con il consenso dell'autore); l'autore può indicare il punto dello scatto. Verifica: Codice, migrazione 004 e test del backend</t>
  </si>
  <si>
    <t>T-17</t>
  </si>
  <si>
    <t>RNF-PO02 Installabile come PWA</t>
  </si>
  <si>
    <t>Manifest con icone PNG, apple-touch-icon e service worker. Verifica: Chrome headless: nessun errore di installabilità (solo "in-incognito", dovuto al profilo temporaneo), service worker attivo con la cache dell'app, pagina aperta senza rete con l'avviso "Serve una connessione a Internet" e "Riprova" che ricarica i luoghi. Nel browser integrato i service worker non funzionano</t>
  </si>
  <si>
    <t>T-18</t>
  </si>
  <si>
    <t>RNF-PO04 Dati esportabili</t>
  </si>
  <si>
    <t>Esportazione di luoghi (GeoJSON, con le traduzioni) e itinerari (JSON); importazione dal pannello di amministrazione. Verifica: API: 45 luoghi e 10 itinerari esportati; scheda "Esporta e importa" presente; importazioni coperte dai test</t>
  </si>
  <si>
    <t>T-19</t>
  </si>
  <si>
    <t>UC-01 E3 Nessun luogo entro 1 km</t>
  </si>
  <si>
    <t>La mappa si allarga fino ai luoghi più vicini. Verifica: Chrome con posizione simulata a 5–6 km da Piazza Duomo: avviso "Nessun luogo entro 1 km da te" e 4 segnaposti più la posizione dell'utente nella vista</t>
  </si>
  <si>
    <t>T-20</t>
  </si>
  <si>
    <t>UC-01 E2, UC-02 E2 Connessione assente</t>
  </si>
  <si>
    <t>Un solo avviso "Serve una connessione a Internet" con "Riprova", in tutte le pagine con dati. Verifica: API bloccata su 7 pagine (mappa, scheda, itinerari, itinerario, itinerario su misura, tradizioni, mappa del gusto) e Chrome senza rete</t>
  </si>
  <si>
    <t>T-21</t>
  </si>
  <si>
    <t>UC-02 passo 8 Fine dell'itinerario</t>
  </si>
  <si>
    <t>"Percorso completato!" e fino a 3 itinerari vicini. Verifica: Dal vivo: messaggio e tre itinerari vicini</t>
  </si>
  <si>
    <t>T-22</t>
  </si>
  <si>
    <t>UC-02 7a Raggiungere una tappa</t>
  </si>
  <si>
    <t>"Come arrivare" (Google Maps a piedi) per ogni tappa dell'itinerario. Verifica: Dal vivo</t>
  </si>
  <si>
    <t>T-23</t>
  </si>
  <si>
    <t>UC-02 E1 Tappa rimossa</t>
  </si>
  <si>
    <t>Le tappe dei luoghi eliminati restano come "rimosse" (migrazione 004) e la pagina avvisa che il percorso le salta. Verifica: Codice, migrazione e test (tappe_rimosse); non provato dal vivo</t>
  </si>
  <si>
    <t>T-24</t>
  </si>
  <si>
    <t>UC-10 passo 4 Voci in corso o vicine</t>
  </si>
  <si>
    <t>Prima le voci in corso, poi "Tra poco", poi il resto dell'anno. Verifica: Dal vivo: in ottobre i "Mercatini di Natale" compaiono sotto "Tra poco"</t>
  </si>
  <si>
    <t>T-25</t>
  </si>
  <si>
    <t>UC-10 passo 6, RF-19 Luoghi collegati sulla mappa</t>
  </si>
  <si>
    <t>Ogni tradizione ha "Sulla mappa" (filtro ?tradizione=) e tutte e 6 hanno luoghi collegati. Verifica: Dal vivo e con l'API: "Luoghi di: Mercatini di Natale" mostra 2 luoghi</t>
  </si>
  <si>
    <t>T-26</t>
  </si>
  <si>
    <t>Documentazione da riallineare</t>
  </si>
  <si>
    <t>Fase 2 (v0.4)</t>
  </si>
  <si>
    <t>Documento</t>
  </si>
  <si>
    <t>non è cambiata dal 1° ottobre. Lo stato dei requisiti, i "Punti aperti" (§6, per esempio RF-06) e le matrici di tracciabilità non riflettono quanto realizzato. Mancano anche le funzioni nate dalla privacy (scarica i miei dati, cambio del nome, conservazione automatica) e l'importazione dei dati: il CONTRIBUTING chiede di aggiornare le matrici quando un requisito cambia.</t>
  </si>
  <si>
    <t>T-27</t>
  </si>
  <si>
    <t>Fase 3 (v0.2)</t>
  </si>
  <si>
    <t>il §8 dice ancora che il proxy HTTPS "resta da configurare con l'hosting", ma ora esiste il profilo https con Caddy. Non risultano registrate le nuove decisioni (proxy HTTPS, traduzioni salvate nei dati, service worker, pulizia dei dati scaduti).</t>
  </si>
  <si>
    <t>T-28</t>
  </si>
  <si>
    <t>Verifica dei requisiti non funzionali (v0.1)</t>
  </si>
  <si>
    <t>rimanda ancora alla v0.1 di questo documento; inoltre il tempo di apertura della scheda (0,65–0,75 s) è più ottimistico di quello rifatto qui (1,0–1,5 s): conviene ripeterlo con le mappe vere.</t>
  </si>
  <si>
    <t>T-29</t>
  </si>
  <si>
    <t>Trasparenza e consenso</t>
  </si>
  <si>
    <t>Informativa completa e in linguaggio semplice: titolare e contatti, finalità, basi giuridiche, destinatari, tempi di conservazione, diritti, reclamo al Garante</t>
  </si>
  <si>
    <t>art. 12, 13 · Pagina "Informativa privacy" (#/privacy), in italiano e inglese, raggiungibile da registrazione e profilo</t>
  </si>
  <si>
    <t>T-30</t>
  </si>
  <si>
    <t>I tempi di conservazione scritti nell'informativa sono quelli applicati dal server</t>
  </si>
  <si>
    <t>art. 13.2.a · L'informativa li legge da GET /api/informazioni (servizi/pulizia.js)</t>
  </si>
  <si>
    <t>T-31</t>
  </si>
  <si>
    <t>Consenso esplicito alla registrazione: casella non spuntata, obbligatoria, data salvata</t>
  </si>
  <si>
    <t>art. 6.1.a, 7 · Modulo di registrazione; colonna consenso_privacy_il</t>
  </si>
  <si>
    <t>T-32</t>
  </si>
  <si>
    <t>Età minima di 14 anni dichiarata nella casella</t>
  </si>
  <si>
    <t>art. 8; art. 2-quinquies D.Lgs. 196/2003 · Testo della casella e informativa</t>
  </si>
  <si>
    <t>T-33</t>
  </si>
  <si>
    <t>Consenso separato e facoltativo per usare la propria foto nel gioco</t>
  </si>
  <si>
    <t>art. 6.1.a, 7.2 · Casella in "Aggiungi un ricordo"; senza consenso il moderatore non può farne un livello (contenuti_livello_con_consenso)</t>
  </si>
  <si>
    <t>T-34</t>
  </si>
  <si>
    <t>Indirizzo per le richieste sui dati</t>
  </si>
  <si>
    <t>Del titolare</t>
  </si>
  <si>
    <t>art. 13.1.b · Variabile EMAIL_PRIVACY (il server avvisa all'avvio se manca)</t>
  </si>
  <si>
    <t>T-35</t>
  </si>
  <si>
    <t>Minimizzazione e limitazione</t>
  </si>
  <si>
    <t>Per l'account solo nome visualizzato, e-mail e password</t>
  </si>
  <si>
    <t>art. 5.1.c · Tabella utenti</t>
  </si>
  <si>
    <t>T-36</t>
  </si>
  <si>
    <t>Password solo come hash (bcrypt)</t>
  </si>
  <si>
    <t>art. 32 · servizi/password.js</t>
  </si>
  <si>
    <t>T-37</t>
  </si>
  <si>
    <t>Foto ridotte e senza dati EXIF, compresa la posizione GPS</t>
  </si>
  <si>
    <t>art. 5.1.c, 25 · servizi/immagini.js; test in contenuti.test.js</t>
  </si>
  <si>
    <t>T-38</t>
  </si>
  <si>
    <t>La posizione dell'utente resta nel browser; al server arriva solo per l'itinerario su misura, senza essere salvata</t>
  </si>
  <si>
    <t>art. 5.1.c · lib/posizione.jsx, GET /api/itinerari/su-misura</t>
  </si>
  <si>
    <t>T-39</t>
  </si>
  <si>
    <t>"Cosa sto guardando?": immagini della fotocamera e bussola elaborate solo nel browser</t>
  </si>
  <si>
    <t>art. 5.1.c, 25 · pages/Inquadra.jsx</t>
  </si>
  <si>
    <t>T-40</t>
  </si>
  <si>
    <t>Punto dello scatto salvato solo con il consenso al gioco</t>
  </si>
  <si>
    <t>art. 5.1.b · POST /api/poi/:id/contenuti; test in contenuti.test.js</t>
  </si>
  <si>
    <t>T-41</t>
  </si>
  <si>
    <t>Il registro delle richieste non contiene indirizzi IP; gli IP restano in memoria al massimo un giorno per i limiti contro gli abusi</t>
  </si>
  <si>
    <t>art. 5.1.c, 6.1.f · app.js, gateway/limiti.js</t>
  </si>
  <si>
    <t>T-42</t>
  </si>
  <si>
    <t>Cancellazione automatica: account mai confermati dopo 30 giorni, ricordi rifiutati o rimossi dopo 90, sessioni scadute</t>
  </si>
  <si>
    <t>art. 5.1.e · servizi/pulizia.js, eseguita all'avvio e ogni giorno; test in privacy.test.js</t>
  </si>
  <si>
    <t>T-43</t>
  </si>
  <si>
    <t>Diritti dell'interessato</t>
  </si>
  <si>
    <t>Accesso e portabilità: tutti i propri dati in un file JSON</t>
  </si>
  <si>
    <t>art. 15, 20 · Profilo → "Scarica i miei dati" (GET /api/me/dati)</t>
  </si>
  <si>
    <t>T-44</t>
  </si>
  <si>
    <t>Rettifica del nome visualizzato</t>
  </si>
  <si>
    <t>art. 16 · Profilo → "Cambia nome" (PATCH /api/me)</t>
  </si>
  <si>
    <t>T-45</t>
  </si>
  <si>
    <t>Rettifica dell'e-mail, limitazione, opposizione</t>
  </si>
  <si>
    <t>art. 16, 18, 21 · Su richiesta all'indirizzo dell'informativa, entro 30 giorni (art. 12.3)</t>
  </si>
  <si>
    <t>T-46</t>
  </si>
  <si>
    <t>Cancellazione immediata, con la password; i ricordi pubblicati si cancellano o restano anonimi a scelta, quelli non pubblicati si cancellano sempre</t>
  </si>
  <si>
    <t>art. 17 · Profilo → "Elimina il mio account" (DELETE /api/me); test in utenti.test.js e contenuti.test.js</t>
  </si>
  <si>
    <t>T-47</t>
  </si>
  <si>
    <t>Revoca del consenso al gioco</t>
  </si>
  <si>
    <t>art. 7.3 · Eliminando il ricordo con l'account; per un singolo ricordo su richiesta</t>
  </si>
  <si>
    <t>T-48</t>
  </si>
  <si>
    <t>Reclamo all'autorità di controllo indicato nell'informativa</t>
  </si>
  <si>
    <t>art. 77 · Informativa, sezione "I tuoi diritti"</t>
  </si>
  <si>
    <t>T-49</t>
  </si>
  <si>
    <t>Sicurezza e cookie</t>
  </si>
  <si>
    <t>Comunicazioni cifrate (HTTPS)</t>
  </si>
  <si>
    <t>art. 32 · Proxy HTTPS in docker-compose.yml (vedi RNF-S01)</t>
  </si>
  <si>
    <t>T-50</t>
  </si>
  <si>
    <t>Sessione: token di accesso di 15 minuti in memoria, token di rinnovo in un cookie HttpOnly, Secure, SameSite=Strict</t>
  </si>
  <si>
    <t>art. 32 · gateway/autenticazione.js</t>
  </si>
  <si>
    <t>T-51</t>
  </si>
  <si>
    <t>Controllo degli accessi per ruolo su ogni rotta riservata</t>
  </si>
  <si>
    <t>art. 25, 32 · tests/backend/ruoli.test.js</t>
  </si>
  <si>
    <t>T-52</t>
  </si>
  <si>
    <t>Foto in attesa di moderazione visibili solo all'autore e ai moderatori</t>
  </si>
  <si>
    <t>art. 25 · GET /api/foto/:id</t>
  </si>
  <si>
    <t>T-53</t>
  </si>
  <si>
    <t>Limiti contro i tentativi di accesso ripetuti</t>
  </si>
  <si>
    <t>art. 32 · gateway/limiti.js</t>
  </si>
  <si>
    <t>T-54</t>
  </si>
  <si>
    <t>Un solo cookie, tecnico, solo dopo l'accesso; nessun cookie di profilazione o di terze parti: non serve il banner</t>
  </si>
  <si>
    <t>art. Direttiva ePrivacy; Linee guida del Garante sui cookie (2021) · Informativa, sezione "Cookie e memoria del browser"</t>
  </si>
  <si>
    <t>T-55</t>
  </si>
  <si>
    <t>Le mappe di OpenStreetMap ricevono l'indirizzo IP del visitatore: indicato nell'informativa</t>
  </si>
  <si>
    <t>art. 13.1.e · Informativa, sezione "Chi riceve i dati"</t>
  </si>
  <si>
    <t>T-56</t>
  </si>
  <si>
    <t>Compiti del titolare prima della pubblicazione</t>
  </si>
  <si>
    <t>Indicare l'indirizzo per le richieste sui dati (EMAIL_PRIVACY) e, se il titolare non è il team, aggiornare la sezione "Chi tratta i dati"</t>
  </si>
  <si>
    <t>art. 13</t>
  </si>
  <si>
    <t>T-57</t>
  </si>
  <si>
    <t>Accordi con i fornitori che trattano dati per conto del titolare: hosting, servizio di posta (SMTP)</t>
  </si>
  <si>
    <t>art. 28</t>
  </si>
  <si>
    <t>T-58</t>
  </si>
  <si>
    <t>Registro delle attività di trattamento</t>
  </si>
  <si>
    <t>art. 30</t>
  </si>
  <si>
    <t>T-59</t>
  </si>
  <si>
    <t>Procedura per le violazioni di dati: chi se ne accorge, chi avvisa il Garante entro 72 ore</t>
  </si>
  <si>
    <t>art. 33, 34</t>
  </si>
  <si>
    <t>T-60</t>
  </si>
  <si>
    <t>Copie di sicurezza del database con gli stessi tempi di conservazione</t>
  </si>
  <si>
    <t>art. 5.1.e, 32</t>
  </si>
  <si>
    <t>T-61</t>
  </si>
  <si>
    <t>Valutazione d'impatto (DPIA): non sembra necessaria, perché non ci sono trattamenti su larga scala di dati particolari né profilazione; da confermare</t>
  </si>
  <si>
    <t>art. 35</t>
  </si>
  <si>
    <t>Compiti del progetto</t>
  </si>
  <si>
    <t>Discover Tridentum · dalle vecchie "Cose mancanti" (v0.2) e "Checklist GDPR" (v0.1)</t>
  </si>
  <si>
    <t>In corso</t>
  </si>
  <si>
    <t>Totale</t>
  </si>
  <si>
    <t>Tutti i compiti</t>
  </si>
  <si>
    <t>Per persona</t>
  </si>
  <si>
    <t>Manuel</t>
  </si>
  <si>
    <t>Marco</t>
  </si>
  <si>
    <t>Pietro</t>
  </si>
  <si>
    <t>Non assegnati</t>
  </si>
  <si>
    <t>Per priorità</t>
  </si>
  <si>
    <t>Si scrive solo nel foglio "Compiti": Assegnato a, Stato (Da fare rosso, In corso giallo, Fatto verde), Data fine e Note.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</si>
</sst>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dd/mm/yyyy"/>
  </numFmts>
  <fonts count="8" x14ac:knownFonts="1">
    <font>
      <color theme="1"/>
      <family val="2"/>
      <scheme val="minor"/>
      <sz val="11"/>
      <name val="Calibri"/>
    </font>
    <font>
      <b/>
      <color rgb="FFFFFFFF"/>
      <sz val="11"/>
      <name val="Calibri"/>
    </font>
    <font>
      <sz val="10"/>
      <name val="Calibri"/>
    </font>
    <font>
      <b/>
      <sz val="10"/>
      <name val="Calibri"/>
    </font>
    <font>
      <b/>
      <color rgb="FF7A2E22"/>
      <sz val="14"/>
    </font>
    <font>
      <i/>
      <color rgb="FF666666"/>
    </font>
    <font>
      <b/>
      <color rgb="FFFFFFFF"/>
    </font>
    <font>
      <b/>
    </font>
  </fonts>
  <fills count="4">
    <fill>
      <patternFill patternType="none"/>
    </fill>
    <fill>
      <patternFill patternType="gray125"/>
    </fill>
    <fill>
      <patternFill patternType="solid">
        <fgColor rgb="FF7A2E22"/>
      </patternFill>
    </fill>
    <fill>
      <patternFill patternType="solid">
        <fgColor rgb="FFFBF8F3"/>
      </patternFill>
    </fill>
  </fills>
  <borders count="2">
    <border>
      <left/>
      <right/>
      <top/>
      <bottom/>
      <diagonal/>
    </border>
    <border>
      <left style="thin">
        <color rgb="FFD9D2C5"/>
      </left>
      <right style="thin">
        <color rgb="FFD9D2C5"/>
      </right>
      <top style="thin">
        <color rgb="FFD9D2C5"/>
      </top>
      <bottom style="thin">
        <color rgb="FFD9D2C5"/>
      </bottom>
      <diagonal/>
    </border>
  </borders>
  <cellStyleXfs count="1">
    <xf numFmtId="0" fontId="0" fillId="0" borderId="0"/>
  </cellStyleXfs>
  <cellXfs count="14">
    <xf numFmtId="0" fontId="0" fillId="0" borderId="0" xfId="0"/>
    <xf numFmtId="0" fontId="1" fillId="2" borderId="1" xfId="0" applyFont="1" applyFill="1" applyBorder="1" applyAlignment="1">
      <alignment vertical="center" wrapText="1"/>
    </xf>
    <xf numFmtId="0" fontId="2" fillId="0" borderId="1" xfId="0" applyFont="1" applyBorder="1" applyAlignment="1">
      <alignment vertical="top" wrapText="1"/>
    </xf>
    <xf numFmtId="0" fontId="3" fillId="0" borderId="1" xfId="0" applyFont="1" applyBorder="1" applyAlignment="1">
      <alignment horizontal="center" vertical="top"/>
    </xf>
    <xf numFmtId="164" fontId="2" fillId="0" borderId="1" xfId="0" applyNumberFormat="1" applyFont="1" applyBorder="1" applyAlignment="1">
      <alignment vertical="top" wrapText="1"/>
    </xf>
    <xf numFmtId="0" fontId="2" fillId="3" borderId="1" xfId="0" applyFont="1" applyFill="1" applyBorder="1" applyAlignment="1">
      <alignment vertical="top" wrapText="1"/>
    </xf>
    <xf numFmtId="0" fontId="3" fillId="3" borderId="1" xfId="0" applyFont="1" applyFill="1" applyBorder="1" applyAlignment="1">
      <alignment horizontal="center" vertical="top"/>
    </xf>
    <xf numFmtId="164" fontId="2" fillId="3" borderId="1" xfId="0" applyNumberFormat="1" applyFont="1" applyFill="1" applyBorder="1" applyAlignment="1">
      <alignment vertical="top" wrapText="1"/>
    </xf>
    <xf numFmtId="0" fontId="4" fillId="0" borderId="0" xfId="0" applyFont="1"/>
    <xf numFmtId="0" fontId="5" fillId="0" borderId="0" xfId="0" applyFont="1"/>
    <xf numFmtId="0" fontId="6" fillId="2" borderId="0" xfId="0" applyFont="1" applyFill="1" applyAlignment="1">
      <alignment horizontal="center"/>
    </xf>
    <xf numFmtId="0" fontId="7" fillId="0" borderId="0" xfId="0" applyFont="1"/>
    <xf numFmtId="0" fontId="7" fillId="0" borderId="0" xfId="0" applyFont="1" applyAlignment="1">
      <alignment horizontal="center"/>
    </xf>
    <xf numFmtId="0" fontId="0" fillId="0" borderId="0" xfId="0" applyAlignment="1">
      <alignment horizontal="center"/>
    </xf>
  </cellXfs>
  <cellStyles count="1">
    <cellStyle name="Normal" xfId="0" builtinId="0"/>
  </cellStyles>
  <dxfs count="3">
    <dxf>
      <font>
        <b/>
        <color rgb="FF9C0006"/>
      </font>
      <fill>
        <patternFill patternType="solid">
          <fgColor rgb="FFFF9C9C"/>
          <bgColor rgb="FFFF9C9C"/>
        </patternFill>
      </fill>
    </dxf>
    <dxf>
      <font>
        <b/>
        <color rgb="FF7F6000"/>
      </font>
      <fill>
        <patternFill patternType="solid">
          <fgColor rgb="FFFFE699"/>
          <bgColor rgb="FFFFE699"/>
        </patternFill>
      </fill>
    </dxf>
    <dxf>
      <font>
        <b/>
        <color rgb="FF14532D"/>
      </font>
      <fill>
        <patternFill patternType="solid">
          <fgColor rgb="FF92D88F"/>
          <bgColor rgb="FF92D88F"/>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K62"/>
  <sheetViews>
    <sheetView workbookViewId="0">
      <pane xSplit="4" ySplit="1" topLeftCell="E2" activePane="bottomRight" state="frozen"/>
      <selection pane="bottomRight"/>
    </sheetView>
  </sheetViews>
  <sheetFormatPr defaultRowHeight="15" outlineLevelRow="0" outlineLevelCol="0" x14ac:dyDescent="55"/>
  <cols>
    <col min="1" max="1" width="7" customWidth="1"/>
    <col min="2" max="2" width="26" customWidth="1"/>
    <col min="3" max="3" width="46" customWidth="1"/>
    <col min="4" max="4" width="10" customWidth="1"/>
    <col min="5" max="5" width="15" customWidth="1"/>
    <col min="6" max="6" width="70" customWidth="1"/>
    <col min="7" max="7" width="38" customWidth="1"/>
    <col min="8" max="8" width="15" customWidth="1"/>
    <col min="9" max="9" width="13" customWidth="1"/>
    <col min="10" max="10" width="12" customWidth="1"/>
    <col min="11" max="11" width="30" customWidth="1"/>
  </cols>
  <sheetData>
    <row r="1" ht="24" customHeight="1" spans="1:11" x14ac:dyDescent="0.25">
      <c r="A1" s="1" t="s">
        <v>0</v>
      </c>
      <c r="B1" s="1" t="s">
        <v>1</v>
      </c>
      <c r="C1" s="1" t="s">
        <v>2</v>
      </c>
      <c r="D1" s="1" t="s">
        <v>3</v>
      </c>
      <c r="E1" s="1" t="s">
        <v>4</v>
      </c>
      <c r="F1" s="1" t="s">
        <v>5</v>
      </c>
      <c r="G1" s="1" t="s">
        <v>6</v>
      </c>
      <c r="H1" s="1" t="s">
        <v>7</v>
      </c>
      <c r="I1" s="1" t="s">
        <v>8</v>
      </c>
      <c r="J1" s="1" t="s">
        <v>9</v>
      </c>
      <c r="K1" s="1" t="s">
        <v>10</v>
      </c>
    </row>
    <row r="2" spans="1:11" x14ac:dyDescent="0.25">
      <c r="A2" s="2" t="s">
        <v>11</v>
      </c>
      <c r="B2" s="2" t="s">
        <v>12</v>
      </c>
      <c r="C2" s="2" t="s">
        <v>13</v>
      </c>
      <c r="D2" s="2" t="s">
        <v>14</v>
      </c>
      <c r="E2" s="2" t="s">
        <v>15</v>
      </c>
      <c r="F2" s="2" t="s">
        <v>16</v>
      </c>
      <c r="G2" s="2" t="s">
        <v>17</v>
      </c>
      <c r="H2" s="2" t="s">
        <v>18</v>
      </c>
      <c r="I2" s="3" t="s">
        <v>19</v>
      </c>
      <c r="J2" s="4" t="s">
        <v>18</v>
      </c>
      <c r="K2" s="2" t="s">
        <v>18</v>
      </c>
    </row>
    <row r="3" spans="1:11" x14ac:dyDescent="0.25">
      <c r="A3" s="5" t="s">
        <v>20</v>
      </c>
      <c r="B3" s="5" t="s">
        <v>12</v>
      </c>
      <c r="C3" s="5" t="s">
        <v>21</v>
      </c>
      <c r="D3" s="5" t="s">
        <v>14</v>
      </c>
      <c r="E3" s="5" t="s">
        <v>22</v>
      </c>
      <c r="F3" s="5" t="s">
        <v>23</v>
      </c>
      <c r="G3" s="5" t="s">
        <v>18</v>
      </c>
      <c r="H3" s="5" t="s">
        <v>18</v>
      </c>
      <c r="I3" s="6" t="s">
        <v>19</v>
      </c>
      <c r="J3" s="7" t="s">
        <v>18</v>
      </c>
      <c r="K3" s="5" t="s">
        <v>18</v>
      </c>
    </row>
    <row r="4" spans="1:11" x14ac:dyDescent="0.25">
      <c r="A4" s="2" t="s">
        <v>24</v>
      </c>
      <c r="B4" s="2" t="s">
        <v>25</v>
      </c>
      <c r="C4" s="2" t="s">
        <v>26</v>
      </c>
      <c r="D4" s="2" t="s">
        <v>27</v>
      </c>
      <c r="E4" s="2" t="s">
        <v>22</v>
      </c>
      <c r="F4" s="2" t="s">
        <v>28</v>
      </c>
      <c r="G4" s="2" t="s">
        <v>18</v>
      </c>
      <c r="H4" s="2" t="s">
        <v>18</v>
      </c>
      <c r="I4" s="3" t="s">
        <v>19</v>
      </c>
      <c r="J4" s="4" t="s">
        <v>18</v>
      </c>
      <c r="K4" s="2" t="s">
        <v>18</v>
      </c>
    </row>
    <row r="5" spans="1:11" x14ac:dyDescent="0.25">
      <c r="A5" s="5" t="s">
        <v>29</v>
      </c>
      <c r="B5" s="5" t="s">
        <v>25</v>
      </c>
      <c r="C5" s="5" t="s">
        <v>30</v>
      </c>
      <c r="D5" s="5" t="s">
        <v>27</v>
      </c>
      <c r="E5" s="5" t="s">
        <v>15</v>
      </c>
      <c r="F5" s="5" t="s">
        <v>31</v>
      </c>
      <c r="G5" s="5" t="s">
        <v>18</v>
      </c>
      <c r="H5" s="5" t="s">
        <v>18</v>
      </c>
      <c r="I5" s="6" t="s">
        <v>19</v>
      </c>
      <c r="J5" s="7" t="s">
        <v>18</v>
      </c>
      <c r="K5" s="5" t="s">
        <v>18</v>
      </c>
    </row>
    <row r="6" spans="1:11" x14ac:dyDescent="0.25">
      <c r="A6" s="2" t="s">
        <v>32</v>
      </c>
      <c r="B6" s="2" t="s">
        <v>33</v>
      </c>
      <c r="C6" s="2" t="s">
        <v>34</v>
      </c>
      <c r="D6" s="2" t="s">
        <v>35</v>
      </c>
      <c r="E6" s="2" t="s">
        <v>15</v>
      </c>
      <c r="F6" s="2" t="s">
        <v>36</v>
      </c>
      <c r="G6" s="2" t="s">
        <v>37</v>
      </c>
      <c r="H6" s="2" t="s">
        <v>18</v>
      </c>
      <c r="I6" s="3" t="s">
        <v>19</v>
      </c>
      <c r="J6" s="4" t="s">
        <v>18</v>
      </c>
      <c r="K6" s="2" t="s">
        <v>18</v>
      </c>
    </row>
    <row r="7" spans="1:11" x14ac:dyDescent="0.25">
      <c r="A7" s="5" t="s">
        <v>38</v>
      </c>
      <c r="B7" s="5" t="s">
        <v>39</v>
      </c>
      <c r="C7" s="5" t="s">
        <v>40</v>
      </c>
      <c r="D7" s="5" t="s">
        <v>18</v>
      </c>
      <c r="E7" s="5" t="s">
        <v>41</v>
      </c>
      <c r="F7" s="5" t="s">
        <v>42</v>
      </c>
      <c r="G7" s="5" t="s">
        <v>18</v>
      </c>
      <c r="H7" s="5" t="s">
        <v>18</v>
      </c>
      <c r="I7" s="6" t="s">
        <v>19</v>
      </c>
      <c r="J7" s="7" t="s">
        <v>18</v>
      </c>
      <c r="K7" s="5" t="s">
        <v>18</v>
      </c>
    </row>
    <row r="8" spans="1:11" x14ac:dyDescent="0.25">
      <c r="A8" s="2" t="s">
        <v>43</v>
      </c>
      <c r="B8" s="2" t="s">
        <v>39</v>
      </c>
      <c r="C8" s="2" t="s">
        <v>44</v>
      </c>
      <c r="D8" s="2" t="s">
        <v>18</v>
      </c>
      <c r="E8" s="2" t="s">
        <v>41</v>
      </c>
      <c r="F8" s="2" t="s">
        <v>45</v>
      </c>
      <c r="G8" s="2" t="s">
        <v>18</v>
      </c>
      <c r="H8" s="2" t="s">
        <v>18</v>
      </c>
      <c r="I8" s="3" t="s">
        <v>19</v>
      </c>
      <c r="J8" s="4" t="s">
        <v>18</v>
      </c>
      <c r="K8" s="2" t="s">
        <v>18</v>
      </c>
    </row>
    <row r="9" spans="1:11" x14ac:dyDescent="0.25">
      <c r="A9" s="5" t="s">
        <v>46</v>
      </c>
      <c r="B9" s="5" t="s">
        <v>39</v>
      </c>
      <c r="C9" s="5" t="s">
        <v>47</v>
      </c>
      <c r="D9" s="5" t="s">
        <v>18</v>
      </c>
      <c r="E9" s="5" t="s">
        <v>41</v>
      </c>
      <c r="F9" s="5" t="s">
        <v>48</v>
      </c>
      <c r="G9" s="5" t="s">
        <v>18</v>
      </c>
      <c r="H9" s="5" t="s">
        <v>18</v>
      </c>
      <c r="I9" s="6" t="s">
        <v>19</v>
      </c>
      <c r="J9" s="7" t="s">
        <v>18</v>
      </c>
      <c r="K9" s="5" t="s">
        <v>18</v>
      </c>
    </row>
    <row r="10" spans="1:11" x14ac:dyDescent="0.25">
      <c r="A10" s="2" t="s">
        <v>49</v>
      </c>
      <c r="B10" s="2" t="s">
        <v>50</v>
      </c>
      <c r="C10" s="2" t="s">
        <v>51</v>
      </c>
      <c r="D10" s="2" t="s">
        <v>18</v>
      </c>
      <c r="E10" s="2" t="s">
        <v>52</v>
      </c>
      <c r="F10" s="2" t="s">
        <v>53</v>
      </c>
      <c r="G10" s="2" t="s">
        <v>18</v>
      </c>
      <c r="H10" s="2" t="s">
        <v>18</v>
      </c>
      <c r="I10" s="3" t="s">
        <v>54</v>
      </c>
      <c r="J10" s="4" t="s">
        <v>18</v>
      </c>
      <c r="K10" s="2" t="s">
        <v>18</v>
      </c>
    </row>
    <row r="11" spans="1:11" x14ac:dyDescent="0.25">
      <c r="A11" s="5" t="s">
        <v>55</v>
      </c>
      <c r="B11" s="5" t="s">
        <v>50</v>
      </c>
      <c r="C11" s="5" t="s">
        <v>56</v>
      </c>
      <c r="D11" s="5" t="s">
        <v>18</v>
      </c>
      <c r="E11" s="5" t="s">
        <v>52</v>
      </c>
      <c r="F11" s="5" t="s">
        <v>57</v>
      </c>
      <c r="G11" s="5" t="s">
        <v>18</v>
      </c>
      <c r="H11" s="5" t="s">
        <v>18</v>
      </c>
      <c r="I11" s="6" t="s">
        <v>54</v>
      </c>
      <c r="J11" s="7" t="s">
        <v>18</v>
      </c>
      <c r="K11" s="5" t="s">
        <v>18</v>
      </c>
    </row>
    <row r="12" spans="1:11" x14ac:dyDescent="0.25">
      <c r="A12" s="2" t="s">
        <v>58</v>
      </c>
      <c r="B12" s="2" t="s">
        <v>50</v>
      </c>
      <c r="C12" s="2" t="s">
        <v>59</v>
      </c>
      <c r="D12" s="2" t="s">
        <v>18</v>
      </c>
      <c r="E12" s="2" t="s">
        <v>52</v>
      </c>
      <c r="F12" s="2" t="s">
        <v>60</v>
      </c>
      <c r="G12" s="2" t="s">
        <v>18</v>
      </c>
      <c r="H12" s="2" t="s">
        <v>18</v>
      </c>
      <c r="I12" s="3" t="s">
        <v>54</v>
      </c>
      <c r="J12" s="4" t="s">
        <v>18</v>
      </c>
      <c r="K12" s="2" t="s">
        <v>18</v>
      </c>
    </row>
    <row r="13" spans="1:11" x14ac:dyDescent="0.25">
      <c r="A13" s="5" t="s">
        <v>61</v>
      </c>
      <c r="B13" s="5" t="s">
        <v>50</v>
      </c>
      <c r="C13" s="5" t="s">
        <v>62</v>
      </c>
      <c r="D13" s="5" t="s">
        <v>18</v>
      </c>
      <c r="E13" s="5" t="s">
        <v>52</v>
      </c>
      <c r="F13" s="5" t="s">
        <v>63</v>
      </c>
      <c r="G13" s="5" t="s">
        <v>18</v>
      </c>
      <c r="H13" s="5" t="s">
        <v>18</v>
      </c>
      <c r="I13" s="6" t="s">
        <v>54</v>
      </c>
      <c r="J13" s="7" t="s">
        <v>18</v>
      </c>
      <c r="K13" s="5" t="s">
        <v>18</v>
      </c>
    </row>
    <row r="14" spans="1:11" x14ac:dyDescent="0.25">
      <c r="A14" s="2" t="s">
        <v>64</v>
      </c>
      <c r="B14" s="2" t="s">
        <v>50</v>
      </c>
      <c r="C14" s="2" t="s">
        <v>65</v>
      </c>
      <c r="D14" s="2" t="s">
        <v>18</v>
      </c>
      <c r="E14" s="2" t="s">
        <v>52</v>
      </c>
      <c r="F14" s="2" t="s">
        <v>66</v>
      </c>
      <c r="G14" s="2" t="s">
        <v>18</v>
      </c>
      <c r="H14" s="2" t="s">
        <v>18</v>
      </c>
      <c r="I14" s="3" t="s">
        <v>54</v>
      </c>
      <c r="J14" s="4" t="s">
        <v>18</v>
      </c>
      <c r="K14" s="2" t="s">
        <v>18</v>
      </c>
    </row>
    <row r="15" spans="1:11" x14ac:dyDescent="0.25">
      <c r="A15" s="5" t="s">
        <v>67</v>
      </c>
      <c r="B15" s="5" t="s">
        <v>50</v>
      </c>
      <c r="C15" s="5" t="s">
        <v>68</v>
      </c>
      <c r="D15" s="5" t="s">
        <v>18</v>
      </c>
      <c r="E15" s="5" t="s">
        <v>52</v>
      </c>
      <c r="F15" s="5" t="s">
        <v>69</v>
      </c>
      <c r="G15" s="5" t="s">
        <v>18</v>
      </c>
      <c r="H15" s="5" t="s">
        <v>18</v>
      </c>
      <c r="I15" s="6" t="s">
        <v>54</v>
      </c>
      <c r="J15" s="7" t="s">
        <v>18</v>
      </c>
      <c r="K15" s="5" t="s">
        <v>18</v>
      </c>
    </row>
    <row r="16" spans="1:11" x14ac:dyDescent="0.25">
      <c r="A16" s="2" t="s">
        <v>70</v>
      </c>
      <c r="B16" s="2" t="s">
        <v>50</v>
      </c>
      <c r="C16" s="2" t="s">
        <v>71</v>
      </c>
      <c r="D16" s="2" t="s">
        <v>18</v>
      </c>
      <c r="E16" s="2" t="s">
        <v>52</v>
      </c>
      <c r="F16" s="2" t="s">
        <v>72</v>
      </c>
      <c r="G16" s="2" t="s">
        <v>18</v>
      </c>
      <c r="H16" s="2" t="s">
        <v>18</v>
      </c>
      <c r="I16" s="3" t="s">
        <v>54</v>
      </c>
      <c r="J16" s="4" t="s">
        <v>18</v>
      </c>
      <c r="K16" s="2" t="s">
        <v>18</v>
      </c>
    </row>
    <row r="17" spans="1:11" x14ac:dyDescent="0.25">
      <c r="A17" s="5" t="s">
        <v>73</v>
      </c>
      <c r="B17" s="5" t="s">
        <v>50</v>
      </c>
      <c r="C17" s="5" t="s">
        <v>74</v>
      </c>
      <c r="D17" s="5" t="s">
        <v>18</v>
      </c>
      <c r="E17" s="5" t="s">
        <v>52</v>
      </c>
      <c r="F17" s="5" t="s">
        <v>75</v>
      </c>
      <c r="G17" s="5" t="s">
        <v>18</v>
      </c>
      <c r="H17" s="5" t="s">
        <v>18</v>
      </c>
      <c r="I17" s="6" t="s">
        <v>54</v>
      </c>
      <c r="J17" s="7" t="s">
        <v>18</v>
      </c>
      <c r="K17" s="5" t="s">
        <v>18</v>
      </c>
    </row>
    <row r="18" spans="1:11" x14ac:dyDescent="0.25">
      <c r="A18" s="2" t="s">
        <v>76</v>
      </c>
      <c r="B18" s="2" t="s">
        <v>50</v>
      </c>
      <c r="C18" s="2" t="s">
        <v>77</v>
      </c>
      <c r="D18" s="2" t="s">
        <v>18</v>
      </c>
      <c r="E18" s="2" t="s">
        <v>52</v>
      </c>
      <c r="F18" s="2" t="s">
        <v>78</v>
      </c>
      <c r="G18" s="2" t="s">
        <v>18</v>
      </c>
      <c r="H18" s="2" t="s">
        <v>18</v>
      </c>
      <c r="I18" s="3" t="s">
        <v>54</v>
      </c>
      <c r="J18" s="4" t="s">
        <v>18</v>
      </c>
      <c r="K18" s="2" t="s">
        <v>18</v>
      </c>
    </row>
    <row r="19" spans="1:11" x14ac:dyDescent="0.25">
      <c r="A19" s="5" t="s">
        <v>79</v>
      </c>
      <c r="B19" s="5" t="s">
        <v>50</v>
      </c>
      <c r="C19" s="5" t="s">
        <v>80</v>
      </c>
      <c r="D19" s="5" t="s">
        <v>18</v>
      </c>
      <c r="E19" s="5" t="s">
        <v>52</v>
      </c>
      <c r="F19" s="5" t="s">
        <v>81</v>
      </c>
      <c r="G19" s="5" t="s">
        <v>18</v>
      </c>
      <c r="H19" s="5" t="s">
        <v>18</v>
      </c>
      <c r="I19" s="6" t="s">
        <v>54</v>
      </c>
      <c r="J19" s="7" t="s">
        <v>18</v>
      </c>
      <c r="K19" s="5" t="s">
        <v>18</v>
      </c>
    </row>
    <row r="20" spans="1:11" x14ac:dyDescent="0.25">
      <c r="A20" s="2" t="s">
        <v>82</v>
      </c>
      <c r="B20" s="2" t="s">
        <v>50</v>
      </c>
      <c r="C20" s="2" t="s">
        <v>83</v>
      </c>
      <c r="D20" s="2" t="s">
        <v>18</v>
      </c>
      <c r="E20" s="2" t="s">
        <v>52</v>
      </c>
      <c r="F20" s="2" t="s">
        <v>84</v>
      </c>
      <c r="G20" s="2" t="s">
        <v>18</v>
      </c>
      <c r="H20" s="2" t="s">
        <v>18</v>
      </c>
      <c r="I20" s="3" t="s">
        <v>54</v>
      </c>
      <c r="J20" s="4" t="s">
        <v>18</v>
      </c>
      <c r="K20" s="2" t="s">
        <v>18</v>
      </c>
    </row>
    <row r="21" spans="1:11" x14ac:dyDescent="0.25">
      <c r="A21" s="5" t="s">
        <v>85</v>
      </c>
      <c r="B21" s="5" t="s">
        <v>50</v>
      </c>
      <c r="C21" s="5" t="s">
        <v>86</v>
      </c>
      <c r="D21" s="5" t="s">
        <v>18</v>
      </c>
      <c r="E21" s="5" t="s">
        <v>52</v>
      </c>
      <c r="F21" s="5" t="s">
        <v>87</v>
      </c>
      <c r="G21" s="5" t="s">
        <v>18</v>
      </c>
      <c r="H21" s="5" t="s">
        <v>18</v>
      </c>
      <c r="I21" s="6" t="s">
        <v>54</v>
      </c>
      <c r="J21" s="7" t="s">
        <v>18</v>
      </c>
      <c r="K21" s="5" t="s">
        <v>18</v>
      </c>
    </row>
    <row r="22" spans="1:11" x14ac:dyDescent="0.25">
      <c r="A22" s="2" t="s">
        <v>88</v>
      </c>
      <c r="B22" s="2" t="s">
        <v>50</v>
      </c>
      <c r="C22" s="2" t="s">
        <v>89</v>
      </c>
      <c r="D22" s="2" t="s">
        <v>18</v>
      </c>
      <c r="E22" s="2" t="s">
        <v>52</v>
      </c>
      <c r="F22" s="2" t="s">
        <v>90</v>
      </c>
      <c r="G22" s="2" t="s">
        <v>18</v>
      </c>
      <c r="H22" s="2" t="s">
        <v>18</v>
      </c>
      <c r="I22" s="3" t="s">
        <v>54</v>
      </c>
      <c r="J22" s="4" t="s">
        <v>18</v>
      </c>
      <c r="K22" s="2" t="s">
        <v>18</v>
      </c>
    </row>
    <row r="23" spans="1:11" x14ac:dyDescent="0.25">
      <c r="A23" s="5" t="s">
        <v>91</v>
      </c>
      <c r="B23" s="5" t="s">
        <v>50</v>
      </c>
      <c r="C23" s="5" t="s">
        <v>92</v>
      </c>
      <c r="D23" s="5" t="s">
        <v>18</v>
      </c>
      <c r="E23" s="5" t="s">
        <v>52</v>
      </c>
      <c r="F23" s="5" t="s">
        <v>93</v>
      </c>
      <c r="G23" s="5" t="s">
        <v>18</v>
      </c>
      <c r="H23" s="5" t="s">
        <v>18</v>
      </c>
      <c r="I23" s="6" t="s">
        <v>54</v>
      </c>
      <c r="J23" s="7" t="s">
        <v>18</v>
      </c>
      <c r="K23" s="5" t="s">
        <v>18</v>
      </c>
    </row>
    <row r="24" spans="1:11" x14ac:dyDescent="0.25">
      <c r="A24" s="2" t="s">
        <v>94</v>
      </c>
      <c r="B24" s="2" t="s">
        <v>50</v>
      </c>
      <c r="C24" s="2" t="s">
        <v>95</v>
      </c>
      <c r="D24" s="2" t="s">
        <v>18</v>
      </c>
      <c r="E24" s="2" t="s">
        <v>52</v>
      </c>
      <c r="F24" s="2" t="s">
        <v>96</v>
      </c>
      <c r="G24" s="2" t="s">
        <v>18</v>
      </c>
      <c r="H24" s="2" t="s">
        <v>18</v>
      </c>
      <c r="I24" s="3" t="s">
        <v>54</v>
      </c>
      <c r="J24" s="4" t="s">
        <v>18</v>
      </c>
      <c r="K24" s="2" t="s">
        <v>18</v>
      </c>
    </row>
    <row r="25" spans="1:11" x14ac:dyDescent="0.25">
      <c r="A25" s="5" t="s">
        <v>97</v>
      </c>
      <c r="B25" s="5" t="s">
        <v>50</v>
      </c>
      <c r="C25" s="5" t="s">
        <v>98</v>
      </c>
      <c r="D25" s="5" t="s">
        <v>18</v>
      </c>
      <c r="E25" s="5" t="s">
        <v>52</v>
      </c>
      <c r="F25" s="5" t="s">
        <v>99</v>
      </c>
      <c r="G25" s="5" t="s">
        <v>18</v>
      </c>
      <c r="H25" s="5" t="s">
        <v>18</v>
      </c>
      <c r="I25" s="6" t="s">
        <v>54</v>
      </c>
      <c r="J25" s="7" t="s">
        <v>18</v>
      </c>
      <c r="K25" s="5" t="s">
        <v>18</v>
      </c>
    </row>
    <row r="26" spans="1:11" x14ac:dyDescent="0.25">
      <c r="A26" s="2" t="s">
        <v>100</v>
      </c>
      <c r="B26" s="2" t="s">
        <v>50</v>
      </c>
      <c r="C26" s="2" t="s">
        <v>101</v>
      </c>
      <c r="D26" s="2" t="s">
        <v>18</v>
      </c>
      <c r="E26" s="2" t="s">
        <v>52</v>
      </c>
      <c r="F26" s="2" t="s">
        <v>102</v>
      </c>
      <c r="G26" s="2" t="s">
        <v>18</v>
      </c>
      <c r="H26" s="2" t="s">
        <v>18</v>
      </c>
      <c r="I26" s="3" t="s">
        <v>54</v>
      </c>
      <c r="J26" s="4" t="s">
        <v>18</v>
      </c>
      <c r="K26" s="2" t="s">
        <v>18</v>
      </c>
    </row>
    <row r="27" spans="1:11" x14ac:dyDescent="0.25">
      <c r="A27" s="5" t="s">
        <v>103</v>
      </c>
      <c r="B27" s="5" t="s">
        <v>104</v>
      </c>
      <c r="C27" s="5" t="s">
        <v>105</v>
      </c>
      <c r="D27" s="5" t="s">
        <v>18</v>
      </c>
      <c r="E27" s="5" t="s">
        <v>106</v>
      </c>
      <c r="F27" s="5" t="s">
        <v>107</v>
      </c>
      <c r="G27" s="5" t="s">
        <v>18</v>
      </c>
      <c r="H27" s="5" t="s">
        <v>18</v>
      </c>
      <c r="I27" s="6" t="s">
        <v>19</v>
      </c>
      <c r="J27" s="7" t="s">
        <v>18</v>
      </c>
      <c r="K27" s="5" t="s">
        <v>18</v>
      </c>
    </row>
    <row r="28" spans="1:11" x14ac:dyDescent="0.25">
      <c r="A28" s="2" t="s">
        <v>108</v>
      </c>
      <c r="B28" s="2" t="s">
        <v>104</v>
      </c>
      <c r="C28" s="2" t="s">
        <v>109</v>
      </c>
      <c r="D28" s="2" t="s">
        <v>18</v>
      </c>
      <c r="E28" s="2" t="s">
        <v>106</v>
      </c>
      <c r="F28" s="2" t="s">
        <v>110</v>
      </c>
      <c r="G28" s="2" t="s">
        <v>18</v>
      </c>
      <c r="H28" s="2" t="s">
        <v>18</v>
      </c>
      <c r="I28" s="3" t="s">
        <v>19</v>
      </c>
      <c r="J28" s="4" t="s">
        <v>18</v>
      </c>
      <c r="K28" s="2" t="s">
        <v>18</v>
      </c>
    </row>
    <row r="29" spans="1:11" x14ac:dyDescent="0.25">
      <c r="A29" s="5" t="s">
        <v>111</v>
      </c>
      <c r="B29" s="5" t="s">
        <v>104</v>
      </c>
      <c r="C29" s="5" t="s">
        <v>112</v>
      </c>
      <c r="D29" s="5" t="s">
        <v>18</v>
      </c>
      <c r="E29" s="5" t="s">
        <v>106</v>
      </c>
      <c r="F29" s="5" t="s">
        <v>113</v>
      </c>
      <c r="G29" s="5" t="s">
        <v>18</v>
      </c>
      <c r="H29" s="5" t="s">
        <v>18</v>
      </c>
      <c r="I29" s="6" t="s">
        <v>19</v>
      </c>
      <c r="J29" s="7" t="s">
        <v>18</v>
      </c>
      <c r="K29" s="5" t="s">
        <v>18</v>
      </c>
    </row>
    <row r="30" spans="1:11" x14ac:dyDescent="0.25">
      <c r="A30" s="2" t="s">
        <v>114</v>
      </c>
      <c r="B30" s="2" t="s">
        <v>115</v>
      </c>
      <c r="C30" s="2" t="s">
        <v>116</v>
      </c>
      <c r="D30" s="2" t="s">
        <v>18</v>
      </c>
      <c r="E30" s="2" t="s">
        <v>54</v>
      </c>
      <c r="F30" s="2" t="s">
        <v>18</v>
      </c>
      <c r="G30" s="2" t="s">
        <v>117</v>
      </c>
      <c r="H30" s="2" t="s">
        <v>18</v>
      </c>
      <c r="I30" s="3" t="s">
        <v>54</v>
      </c>
      <c r="J30" s="4" t="s">
        <v>18</v>
      </c>
      <c r="K30" s="2" t="s">
        <v>18</v>
      </c>
    </row>
    <row r="31" spans="1:11" x14ac:dyDescent="0.25">
      <c r="A31" s="5" t="s">
        <v>118</v>
      </c>
      <c r="B31" s="5" t="s">
        <v>115</v>
      </c>
      <c r="C31" s="5" t="s">
        <v>119</v>
      </c>
      <c r="D31" s="5" t="s">
        <v>18</v>
      </c>
      <c r="E31" s="5" t="s">
        <v>54</v>
      </c>
      <c r="F31" s="5" t="s">
        <v>18</v>
      </c>
      <c r="G31" s="5" t="s">
        <v>120</v>
      </c>
      <c r="H31" s="5" t="s">
        <v>18</v>
      </c>
      <c r="I31" s="6" t="s">
        <v>54</v>
      </c>
      <c r="J31" s="7" t="s">
        <v>18</v>
      </c>
      <c r="K31" s="5" t="s">
        <v>18</v>
      </c>
    </row>
    <row r="32" spans="1:11" x14ac:dyDescent="0.25">
      <c r="A32" s="2" t="s">
        <v>121</v>
      </c>
      <c r="B32" s="2" t="s">
        <v>115</v>
      </c>
      <c r="C32" s="2" t="s">
        <v>122</v>
      </c>
      <c r="D32" s="2" t="s">
        <v>18</v>
      </c>
      <c r="E32" s="2" t="s">
        <v>54</v>
      </c>
      <c r="F32" s="2" t="s">
        <v>18</v>
      </c>
      <c r="G32" s="2" t="s">
        <v>123</v>
      </c>
      <c r="H32" s="2" t="s">
        <v>18</v>
      </c>
      <c r="I32" s="3" t="s">
        <v>54</v>
      </c>
      <c r="J32" s="4" t="s">
        <v>18</v>
      </c>
      <c r="K32" s="2" t="s">
        <v>18</v>
      </c>
    </row>
    <row r="33" spans="1:11" x14ac:dyDescent="0.25">
      <c r="A33" s="5" t="s">
        <v>124</v>
      </c>
      <c r="B33" s="5" t="s">
        <v>115</v>
      </c>
      <c r="C33" s="5" t="s">
        <v>125</v>
      </c>
      <c r="D33" s="5" t="s">
        <v>18</v>
      </c>
      <c r="E33" s="5" t="s">
        <v>54</v>
      </c>
      <c r="F33" s="5" t="s">
        <v>18</v>
      </c>
      <c r="G33" s="5" t="s">
        <v>126</v>
      </c>
      <c r="H33" s="5" t="s">
        <v>18</v>
      </c>
      <c r="I33" s="6" t="s">
        <v>54</v>
      </c>
      <c r="J33" s="7" t="s">
        <v>18</v>
      </c>
      <c r="K33" s="5" t="s">
        <v>18</v>
      </c>
    </row>
    <row r="34" spans="1:11" x14ac:dyDescent="0.25">
      <c r="A34" s="2" t="s">
        <v>127</v>
      </c>
      <c r="B34" s="2" t="s">
        <v>115</v>
      </c>
      <c r="C34" s="2" t="s">
        <v>128</v>
      </c>
      <c r="D34" s="2" t="s">
        <v>18</v>
      </c>
      <c r="E34" s="2" t="s">
        <v>54</v>
      </c>
      <c r="F34" s="2" t="s">
        <v>18</v>
      </c>
      <c r="G34" s="2" t="s">
        <v>129</v>
      </c>
      <c r="H34" s="2" t="s">
        <v>18</v>
      </c>
      <c r="I34" s="3" t="s">
        <v>54</v>
      </c>
      <c r="J34" s="4" t="s">
        <v>18</v>
      </c>
      <c r="K34" s="2" t="s">
        <v>18</v>
      </c>
    </row>
    <row r="35" spans="1:11" x14ac:dyDescent="0.25">
      <c r="A35" s="5" t="s">
        <v>130</v>
      </c>
      <c r="B35" s="5" t="s">
        <v>115</v>
      </c>
      <c r="C35" s="5" t="s">
        <v>131</v>
      </c>
      <c r="D35" s="5" t="s">
        <v>14</v>
      </c>
      <c r="E35" s="5" t="s">
        <v>132</v>
      </c>
      <c r="F35" s="5" t="s">
        <v>18</v>
      </c>
      <c r="G35" s="5" t="s">
        <v>133</v>
      </c>
      <c r="H35" s="5" t="s">
        <v>18</v>
      </c>
      <c r="I35" s="6" t="s">
        <v>19</v>
      </c>
      <c r="J35" s="7" t="s">
        <v>18</v>
      </c>
      <c r="K35" s="5" t="s">
        <v>18</v>
      </c>
    </row>
    <row r="36" spans="1:11" x14ac:dyDescent="0.25">
      <c r="A36" s="2" t="s">
        <v>134</v>
      </c>
      <c r="B36" s="2" t="s">
        <v>135</v>
      </c>
      <c r="C36" s="2" t="s">
        <v>136</v>
      </c>
      <c r="D36" s="2" t="s">
        <v>18</v>
      </c>
      <c r="E36" s="2" t="s">
        <v>54</v>
      </c>
      <c r="F36" s="2" t="s">
        <v>18</v>
      </c>
      <c r="G36" s="2" t="s">
        <v>137</v>
      </c>
      <c r="H36" s="2" t="s">
        <v>18</v>
      </c>
      <c r="I36" s="3" t="s">
        <v>54</v>
      </c>
      <c r="J36" s="4" t="s">
        <v>18</v>
      </c>
      <c r="K36" s="2" t="s">
        <v>18</v>
      </c>
    </row>
    <row r="37" spans="1:11" x14ac:dyDescent="0.25">
      <c r="A37" s="5" t="s">
        <v>138</v>
      </c>
      <c r="B37" s="5" t="s">
        <v>135</v>
      </c>
      <c r="C37" s="5" t="s">
        <v>139</v>
      </c>
      <c r="D37" s="5" t="s">
        <v>18</v>
      </c>
      <c r="E37" s="5" t="s">
        <v>54</v>
      </c>
      <c r="F37" s="5" t="s">
        <v>18</v>
      </c>
      <c r="G37" s="5" t="s">
        <v>140</v>
      </c>
      <c r="H37" s="5" t="s">
        <v>18</v>
      </c>
      <c r="I37" s="6" t="s">
        <v>54</v>
      </c>
      <c r="J37" s="7" t="s">
        <v>18</v>
      </c>
      <c r="K37" s="5" t="s">
        <v>18</v>
      </c>
    </row>
    <row r="38" spans="1:11" x14ac:dyDescent="0.25">
      <c r="A38" s="2" t="s">
        <v>141</v>
      </c>
      <c r="B38" s="2" t="s">
        <v>135</v>
      </c>
      <c r="C38" s="2" t="s">
        <v>142</v>
      </c>
      <c r="D38" s="2" t="s">
        <v>18</v>
      </c>
      <c r="E38" s="2" t="s">
        <v>54</v>
      </c>
      <c r="F38" s="2" t="s">
        <v>18</v>
      </c>
      <c r="G38" s="2" t="s">
        <v>143</v>
      </c>
      <c r="H38" s="2" t="s">
        <v>18</v>
      </c>
      <c r="I38" s="3" t="s">
        <v>54</v>
      </c>
      <c r="J38" s="4" t="s">
        <v>18</v>
      </c>
      <c r="K38" s="2" t="s">
        <v>18</v>
      </c>
    </row>
    <row r="39" spans="1:11" x14ac:dyDescent="0.25">
      <c r="A39" s="5" t="s">
        <v>144</v>
      </c>
      <c r="B39" s="5" t="s">
        <v>135</v>
      </c>
      <c r="C39" s="5" t="s">
        <v>145</v>
      </c>
      <c r="D39" s="5" t="s">
        <v>18</v>
      </c>
      <c r="E39" s="5" t="s">
        <v>54</v>
      </c>
      <c r="F39" s="5" t="s">
        <v>18</v>
      </c>
      <c r="G39" s="5" t="s">
        <v>146</v>
      </c>
      <c r="H39" s="5" t="s">
        <v>18</v>
      </c>
      <c r="I39" s="6" t="s">
        <v>54</v>
      </c>
      <c r="J39" s="7" t="s">
        <v>18</v>
      </c>
      <c r="K39" s="5" t="s">
        <v>18</v>
      </c>
    </row>
    <row r="40" spans="1:11" x14ac:dyDescent="0.25">
      <c r="A40" s="2" t="s">
        <v>147</v>
      </c>
      <c r="B40" s="2" t="s">
        <v>135</v>
      </c>
      <c r="C40" s="2" t="s">
        <v>148</v>
      </c>
      <c r="D40" s="2" t="s">
        <v>18</v>
      </c>
      <c r="E40" s="2" t="s">
        <v>54</v>
      </c>
      <c r="F40" s="2" t="s">
        <v>18</v>
      </c>
      <c r="G40" s="2" t="s">
        <v>149</v>
      </c>
      <c r="H40" s="2" t="s">
        <v>18</v>
      </c>
      <c r="I40" s="3" t="s">
        <v>54</v>
      </c>
      <c r="J40" s="4" t="s">
        <v>18</v>
      </c>
      <c r="K40" s="2" t="s">
        <v>18</v>
      </c>
    </row>
    <row r="41" spans="1:11" x14ac:dyDescent="0.25">
      <c r="A41" s="5" t="s">
        <v>150</v>
      </c>
      <c r="B41" s="5" t="s">
        <v>135</v>
      </c>
      <c r="C41" s="5" t="s">
        <v>151</v>
      </c>
      <c r="D41" s="5" t="s">
        <v>18</v>
      </c>
      <c r="E41" s="5" t="s">
        <v>54</v>
      </c>
      <c r="F41" s="5" t="s">
        <v>18</v>
      </c>
      <c r="G41" s="5" t="s">
        <v>152</v>
      </c>
      <c r="H41" s="5" t="s">
        <v>18</v>
      </c>
      <c r="I41" s="6" t="s">
        <v>54</v>
      </c>
      <c r="J41" s="7" t="s">
        <v>18</v>
      </c>
      <c r="K41" s="5" t="s">
        <v>18</v>
      </c>
    </row>
    <row r="42" spans="1:11" x14ac:dyDescent="0.25">
      <c r="A42" s="2" t="s">
        <v>153</v>
      </c>
      <c r="B42" s="2" t="s">
        <v>135</v>
      </c>
      <c r="C42" s="2" t="s">
        <v>154</v>
      </c>
      <c r="D42" s="2" t="s">
        <v>18</v>
      </c>
      <c r="E42" s="2" t="s">
        <v>54</v>
      </c>
      <c r="F42" s="2" t="s">
        <v>18</v>
      </c>
      <c r="G42" s="2" t="s">
        <v>155</v>
      </c>
      <c r="H42" s="2" t="s">
        <v>18</v>
      </c>
      <c r="I42" s="3" t="s">
        <v>54</v>
      </c>
      <c r="J42" s="4" t="s">
        <v>18</v>
      </c>
      <c r="K42" s="2" t="s">
        <v>18</v>
      </c>
    </row>
    <row r="43" spans="1:11" x14ac:dyDescent="0.25">
      <c r="A43" s="5" t="s">
        <v>156</v>
      </c>
      <c r="B43" s="5" t="s">
        <v>135</v>
      </c>
      <c r="C43" s="5" t="s">
        <v>157</v>
      </c>
      <c r="D43" s="5" t="s">
        <v>18</v>
      </c>
      <c r="E43" s="5" t="s">
        <v>54</v>
      </c>
      <c r="F43" s="5" t="s">
        <v>18</v>
      </c>
      <c r="G43" s="5" t="s">
        <v>158</v>
      </c>
      <c r="H43" s="5" t="s">
        <v>18</v>
      </c>
      <c r="I43" s="6" t="s">
        <v>54</v>
      </c>
      <c r="J43" s="7" t="s">
        <v>18</v>
      </c>
      <c r="K43" s="5" t="s">
        <v>18</v>
      </c>
    </row>
    <row r="44" spans="1:11" x14ac:dyDescent="0.25">
      <c r="A44" s="2" t="s">
        <v>159</v>
      </c>
      <c r="B44" s="2" t="s">
        <v>160</v>
      </c>
      <c r="C44" s="2" t="s">
        <v>161</v>
      </c>
      <c r="D44" s="2" t="s">
        <v>18</v>
      </c>
      <c r="E44" s="2" t="s">
        <v>54</v>
      </c>
      <c r="F44" s="2" t="s">
        <v>18</v>
      </c>
      <c r="G44" s="2" t="s">
        <v>162</v>
      </c>
      <c r="H44" s="2" t="s">
        <v>18</v>
      </c>
      <c r="I44" s="3" t="s">
        <v>54</v>
      </c>
      <c r="J44" s="4" t="s">
        <v>18</v>
      </c>
      <c r="K44" s="2" t="s">
        <v>18</v>
      </c>
    </row>
    <row r="45" spans="1:11" x14ac:dyDescent="0.25">
      <c r="A45" s="5" t="s">
        <v>163</v>
      </c>
      <c r="B45" s="5" t="s">
        <v>160</v>
      </c>
      <c r="C45" s="5" t="s">
        <v>164</v>
      </c>
      <c r="D45" s="5" t="s">
        <v>18</v>
      </c>
      <c r="E45" s="5" t="s">
        <v>54</v>
      </c>
      <c r="F45" s="5" t="s">
        <v>18</v>
      </c>
      <c r="G45" s="5" t="s">
        <v>165</v>
      </c>
      <c r="H45" s="5" t="s">
        <v>18</v>
      </c>
      <c r="I45" s="6" t="s">
        <v>54</v>
      </c>
      <c r="J45" s="7" t="s">
        <v>18</v>
      </c>
      <c r="K45" s="5" t="s">
        <v>18</v>
      </c>
    </row>
    <row r="46" spans="1:11" x14ac:dyDescent="0.25">
      <c r="A46" s="2" t="s">
        <v>166</v>
      </c>
      <c r="B46" s="2" t="s">
        <v>160</v>
      </c>
      <c r="C46" s="2" t="s">
        <v>167</v>
      </c>
      <c r="D46" s="2" t="s">
        <v>14</v>
      </c>
      <c r="E46" s="2" t="s">
        <v>132</v>
      </c>
      <c r="F46" s="2" t="s">
        <v>18</v>
      </c>
      <c r="G46" s="2" t="s">
        <v>168</v>
      </c>
      <c r="H46" s="2" t="s">
        <v>18</v>
      </c>
      <c r="I46" s="3" t="s">
        <v>19</v>
      </c>
      <c r="J46" s="4" t="s">
        <v>18</v>
      </c>
      <c r="K46" s="2" t="s">
        <v>18</v>
      </c>
    </row>
    <row r="47" spans="1:11" x14ac:dyDescent="0.25">
      <c r="A47" s="5" t="s">
        <v>169</v>
      </c>
      <c r="B47" s="5" t="s">
        <v>160</v>
      </c>
      <c r="C47" s="5" t="s">
        <v>170</v>
      </c>
      <c r="D47" s="5" t="s">
        <v>18</v>
      </c>
      <c r="E47" s="5" t="s">
        <v>54</v>
      </c>
      <c r="F47" s="5" t="s">
        <v>18</v>
      </c>
      <c r="G47" s="5" t="s">
        <v>171</v>
      </c>
      <c r="H47" s="5" t="s">
        <v>18</v>
      </c>
      <c r="I47" s="6" t="s">
        <v>54</v>
      </c>
      <c r="J47" s="7" t="s">
        <v>18</v>
      </c>
      <c r="K47" s="5" t="s">
        <v>18</v>
      </c>
    </row>
    <row r="48" spans="1:11" x14ac:dyDescent="0.25">
      <c r="A48" s="2" t="s">
        <v>172</v>
      </c>
      <c r="B48" s="2" t="s">
        <v>160</v>
      </c>
      <c r="C48" s="2" t="s">
        <v>173</v>
      </c>
      <c r="D48" s="2" t="s">
        <v>18</v>
      </c>
      <c r="E48" s="2" t="s">
        <v>54</v>
      </c>
      <c r="F48" s="2" t="s">
        <v>18</v>
      </c>
      <c r="G48" s="2" t="s">
        <v>174</v>
      </c>
      <c r="H48" s="2" t="s">
        <v>18</v>
      </c>
      <c r="I48" s="3" t="s">
        <v>54</v>
      </c>
      <c r="J48" s="4" t="s">
        <v>18</v>
      </c>
      <c r="K48" s="2" t="s">
        <v>18</v>
      </c>
    </row>
    <row r="49" spans="1:11" x14ac:dyDescent="0.25">
      <c r="A49" s="5" t="s">
        <v>175</v>
      </c>
      <c r="B49" s="5" t="s">
        <v>160</v>
      </c>
      <c r="C49" s="5" t="s">
        <v>176</v>
      </c>
      <c r="D49" s="5" t="s">
        <v>18</v>
      </c>
      <c r="E49" s="5" t="s">
        <v>54</v>
      </c>
      <c r="F49" s="5" t="s">
        <v>18</v>
      </c>
      <c r="G49" s="5" t="s">
        <v>177</v>
      </c>
      <c r="H49" s="5" t="s">
        <v>18</v>
      </c>
      <c r="I49" s="6" t="s">
        <v>54</v>
      </c>
      <c r="J49" s="7" t="s">
        <v>18</v>
      </c>
      <c r="K49" s="5" t="s">
        <v>18</v>
      </c>
    </row>
    <row r="50" spans="1:11" x14ac:dyDescent="0.25">
      <c r="A50" s="2" t="s">
        <v>178</v>
      </c>
      <c r="B50" s="2" t="s">
        <v>179</v>
      </c>
      <c r="C50" s="2" t="s">
        <v>180</v>
      </c>
      <c r="D50" s="2" t="s">
        <v>18</v>
      </c>
      <c r="E50" s="2" t="s">
        <v>54</v>
      </c>
      <c r="F50" s="2" t="s">
        <v>18</v>
      </c>
      <c r="G50" s="2" t="s">
        <v>181</v>
      </c>
      <c r="H50" s="2" t="s">
        <v>18</v>
      </c>
      <c r="I50" s="3" t="s">
        <v>54</v>
      </c>
      <c r="J50" s="4" t="s">
        <v>18</v>
      </c>
      <c r="K50" s="2" t="s">
        <v>18</v>
      </c>
    </row>
    <row r="51" spans="1:11" x14ac:dyDescent="0.25">
      <c r="A51" s="5" t="s">
        <v>182</v>
      </c>
      <c r="B51" s="5" t="s">
        <v>179</v>
      </c>
      <c r="C51" s="5" t="s">
        <v>183</v>
      </c>
      <c r="D51" s="5" t="s">
        <v>18</v>
      </c>
      <c r="E51" s="5" t="s">
        <v>54</v>
      </c>
      <c r="F51" s="5" t="s">
        <v>18</v>
      </c>
      <c r="G51" s="5" t="s">
        <v>184</v>
      </c>
      <c r="H51" s="5" t="s">
        <v>18</v>
      </c>
      <c r="I51" s="6" t="s">
        <v>54</v>
      </c>
      <c r="J51" s="7" t="s">
        <v>18</v>
      </c>
      <c r="K51" s="5" t="s">
        <v>18</v>
      </c>
    </row>
    <row r="52" spans="1:11" x14ac:dyDescent="0.25">
      <c r="A52" s="2" t="s">
        <v>185</v>
      </c>
      <c r="B52" s="2" t="s">
        <v>179</v>
      </c>
      <c r="C52" s="2" t="s">
        <v>186</v>
      </c>
      <c r="D52" s="2" t="s">
        <v>18</v>
      </c>
      <c r="E52" s="2" t="s">
        <v>54</v>
      </c>
      <c r="F52" s="2" t="s">
        <v>18</v>
      </c>
      <c r="G52" s="2" t="s">
        <v>187</v>
      </c>
      <c r="H52" s="2" t="s">
        <v>18</v>
      </c>
      <c r="I52" s="3" t="s">
        <v>54</v>
      </c>
      <c r="J52" s="4" t="s">
        <v>18</v>
      </c>
      <c r="K52" s="2" t="s">
        <v>18</v>
      </c>
    </row>
    <row r="53" spans="1:11" x14ac:dyDescent="0.25">
      <c r="A53" s="5" t="s">
        <v>188</v>
      </c>
      <c r="B53" s="5" t="s">
        <v>179</v>
      </c>
      <c r="C53" s="5" t="s">
        <v>189</v>
      </c>
      <c r="D53" s="5" t="s">
        <v>18</v>
      </c>
      <c r="E53" s="5" t="s">
        <v>54</v>
      </c>
      <c r="F53" s="5" t="s">
        <v>18</v>
      </c>
      <c r="G53" s="5" t="s">
        <v>190</v>
      </c>
      <c r="H53" s="5" t="s">
        <v>18</v>
      </c>
      <c r="I53" s="6" t="s">
        <v>54</v>
      </c>
      <c r="J53" s="7" t="s">
        <v>18</v>
      </c>
      <c r="K53" s="5" t="s">
        <v>18</v>
      </c>
    </row>
    <row r="54" spans="1:11" x14ac:dyDescent="0.25">
      <c r="A54" s="2" t="s">
        <v>191</v>
      </c>
      <c r="B54" s="2" t="s">
        <v>179</v>
      </c>
      <c r="C54" s="2" t="s">
        <v>192</v>
      </c>
      <c r="D54" s="2" t="s">
        <v>18</v>
      </c>
      <c r="E54" s="2" t="s">
        <v>54</v>
      </c>
      <c r="F54" s="2" t="s">
        <v>18</v>
      </c>
      <c r="G54" s="2" t="s">
        <v>193</v>
      </c>
      <c r="H54" s="2" t="s">
        <v>18</v>
      </c>
      <c r="I54" s="3" t="s">
        <v>54</v>
      </c>
      <c r="J54" s="4" t="s">
        <v>18</v>
      </c>
      <c r="K54" s="2" t="s">
        <v>18</v>
      </c>
    </row>
    <row r="55" spans="1:11" x14ac:dyDescent="0.25">
      <c r="A55" s="5" t="s">
        <v>194</v>
      </c>
      <c r="B55" s="5" t="s">
        <v>179</v>
      </c>
      <c r="C55" s="5" t="s">
        <v>195</v>
      </c>
      <c r="D55" s="5" t="s">
        <v>18</v>
      </c>
      <c r="E55" s="5" t="s">
        <v>54</v>
      </c>
      <c r="F55" s="5" t="s">
        <v>18</v>
      </c>
      <c r="G55" s="5" t="s">
        <v>196</v>
      </c>
      <c r="H55" s="5" t="s">
        <v>18</v>
      </c>
      <c r="I55" s="6" t="s">
        <v>54</v>
      </c>
      <c r="J55" s="7" t="s">
        <v>18</v>
      </c>
      <c r="K55" s="5" t="s">
        <v>18</v>
      </c>
    </row>
    <row r="56" spans="1:11" x14ac:dyDescent="0.25">
      <c r="A56" s="2" t="s">
        <v>197</v>
      </c>
      <c r="B56" s="2" t="s">
        <v>179</v>
      </c>
      <c r="C56" s="2" t="s">
        <v>198</v>
      </c>
      <c r="D56" s="2" t="s">
        <v>18</v>
      </c>
      <c r="E56" s="2" t="s">
        <v>54</v>
      </c>
      <c r="F56" s="2" t="s">
        <v>18</v>
      </c>
      <c r="G56" s="2" t="s">
        <v>199</v>
      </c>
      <c r="H56" s="2" t="s">
        <v>18</v>
      </c>
      <c r="I56" s="3" t="s">
        <v>54</v>
      </c>
      <c r="J56" s="4" t="s">
        <v>18</v>
      </c>
      <c r="K56" s="2" t="s">
        <v>18</v>
      </c>
    </row>
    <row r="57" spans="1:11" x14ac:dyDescent="0.25">
      <c r="A57" s="5" t="s">
        <v>200</v>
      </c>
      <c r="B57" s="5" t="s">
        <v>201</v>
      </c>
      <c r="C57" s="5" t="s">
        <v>202</v>
      </c>
      <c r="D57" s="5" t="s">
        <v>14</v>
      </c>
      <c r="E57" s="5" t="s">
        <v>132</v>
      </c>
      <c r="F57" s="5" t="s">
        <v>18</v>
      </c>
      <c r="G57" s="5" t="s">
        <v>203</v>
      </c>
      <c r="H57" s="5" t="s">
        <v>18</v>
      </c>
      <c r="I57" s="6" t="s">
        <v>19</v>
      </c>
      <c r="J57" s="7" t="s">
        <v>18</v>
      </c>
      <c r="K57" s="5" t="s">
        <v>18</v>
      </c>
    </row>
    <row r="58" spans="1:11" x14ac:dyDescent="0.25">
      <c r="A58" s="2" t="s">
        <v>204</v>
      </c>
      <c r="B58" s="2" t="s">
        <v>201</v>
      </c>
      <c r="C58" s="2" t="s">
        <v>205</v>
      </c>
      <c r="D58" s="2" t="s">
        <v>14</v>
      </c>
      <c r="E58" s="2" t="s">
        <v>132</v>
      </c>
      <c r="F58" s="2" t="s">
        <v>18</v>
      </c>
      <c r="G58" s="2" t="s">
        <v>206</v>
      </c>
      <c r="H58" s="2" t="s">
        <v>18</v>
      </c>
      <c r="I58" s="3" t="s">
        <v>19</v>
      </c>
      <c r="J58" s="4" t="s">
        <v>18</v>
      </c>
      <c r="K58" s="2" t="s">
        <v>18</v>
      </c>
    </row>
    <row r="59" spans="1:11" x14ac:dyDescent="0.25">
      <c r="A59" s="5" t="s">
        <v>207</v>
      </c>
      <c r="B59" s="5" t="s">
        <v>201</v>
      </c>
      <c r="C59" s="5" t="s">
        <v>208</v>
      </c>
      <c r="D59" s="5" t="s">
        <v>14</v>
      </c>
      <c r="E59" s="5" t="s">
        <v>132</v>
      </c>
      <c r="F59" s="5" t="s">
        <v>18</v>
      </c>
      <c r="G59" s="5" t="s">
        <v>209</v>
      </c>
      <c r="H59" s="5" t="s">
        <v>18</v>
      </c>
      <c r="I59" s="6" t="s">
        <v>19</v>
      </c>
      <c r="J59" s="7" t="s">
        <v>18</v>
      </c>
      <c r="K59" s="5" t="s">
        <v>18</v>
      </c>
    </row>
    <row r="60" spans="1:11" x14ac:dyDescent="0.25">
      <c r="A60" s="2" t="s">
        <v>210</v>
      </c>
      <c r="B60" s="2" t="s">
        <v>201</v>
      </c>
      <c r="C60" s="2" t="s">
        <v>211</v>
      </c>
      <c r="D60" s="2" t="s">
        <v>14</v>
      </c>
      <c r="E60" s="2" t="s">
        <v>132</v>
      </c>
      <c r="F60" s="2" t="s">
        <v>18</v>
      </c>
      <c r="G60" s="2" t="s">
        <v>212</v>
      </c>
      <c r="H60" s="2" t="s">
        <v>18</v>
      </c>
      <c r="I60" s="3" t="s">
        <v>19</v>
      </c>
      <c r="J60" s="4" t="s">
        <v>18</v>
      </c>
      <c r="K60" s="2" t="s">
        <v>18</v>
      </c>
    </row>
    <row r="61" spans="1:11" x14ac:dyDescent="0.25">
      <c r="A61" s="5" t="s">
        <v>213</v>
      </c>
      <c r="B61" s="5" t="s">
        <v>201</v>
      </c>
      <c r="C61" s="5" t="s">
        <v>214</v>
      </c>
      <c r="D61" s="5" t="s">
        <v>14</v>
      </c>
      <c r="E61" s="5" t="s">
        <v>132</v>
      </c>
      <c r="F61" s="5" t="s">
        <v>18</v>
      </c>
      <c r="G61" s="5" t="s">
        <v>215</v>
      </c>
      <c r="H61" s="5" t="s">
        <v>18</v>
      </c>
      <c r="I61" s="6" t="s">
        <v>19</v>
      </c>
      <c r="J61" s="7" t="s">
        <v>18</v>
      </c>
      <c r="K61" s="5" t="s">
        <v>18</v>
      </c>
    </row>
    <row r="62" spans="1:11" x14ac:dyDescent="0.25">
      <c r="A62" s="2" t="s">
        <v>216</v>
      </c>
      <c r="B62" s="2" t="s">
        <v>201</v>
      </c>
      <c r="C62" s="2" t="s">
        <v>217</v>
      </c>
      <c r="D62" s="2" t="s">
        <v>14</v>
      </c>
      <c r="E62" s="2" t="s">
        <v>132</v>
      </c>
      <c r="F62" s="2" t="s">
        <v>18</v>
      </c>
      <c r="G62" s="2" t="s">
        <v>218</v>
      </c>
      <c r="H62" s="2" t="s">
        <v>18</v>
      </c>
      <c r="I62" s="3" t="s">
        <v>19</v>
      </c>
      <c r="J62" s="4" t="s">
        <v>18</v>
      </c>
      <c r="K62" s="2" t="s">
        <v>18</v>
      </c>
    </row>
  </sheetData>
  <autoFilter ref="A1:K62"/>
  <conditionalFormatting sqref="I2:I62">
    <cfRule type="expression" dxfId="0" priority="1">
      <formula>$I2="Da fare"</formula>
    </cfRule>
    <cfRule type="expression" dxfId="1" priority="2">
      <formula>$I2="In corso"</formula>
    </cfRule>
    <cfRule type="expression" dxfId="2" priority="3">
      <formula>$I2="Fatto"</formula>
    </cfRule>
  </conditionalFormatting>
  <dataValidations count="4">
    <dataValidation type="list" allowBlank="1" sqref="H10:H62">
      <formula1>"Manuel,Marco,Pietro"</formula1>
    </dataValidation>
    <dataValidation type="list" allowBlank="1" sqref="H2:H62">
      <formula1>"Manuel,Marco,Pietro"</formula1>
    </dataValidation>
    <dataValidation type="list" sqref="I10:I62">
      <formula1>"Da fare,In corso,Fatto"</formula1>
    </dataValidation>
    <dataValidation type="list" sqref="I2:I62">
      <formula1>"Da fare,In corso,Fatto"</formula1>
    </dataValidation>
  </dataValidations>
  <pageSetup orientation="landscape" fitToWidth="1" fitToHeight="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18"/>
  <sheetFormatPr defaultRowHeight="15" outlineLevelRow="0" outlineLevelCol="0" x14ac:dyDescent="55"/>
  <cols>
    <col min="1" max="1" width="24" customWidth="1"/>
    <col min="2" max="5" width="12" customWidth="1"/>
  </cols>
  <sheetData>
    <row r="1" spans="1:1" x14ac:dyDescent="0.25">
      <c r="A1" s="8" t="s">
        <v>219</v>
      </c>
    </row>
    <row r="2" spans="1:1" x14ac:dyDescent="0.25">
      <c r="A2" s="9" t="s">
        <v>220</v>
      </c>
    </row>
    <row r="4" spans="1:5" x14ac:dyDescent="0.25">
      <c r="A4" s="10" t="s">
        <v>18</v>
      </c>
      <c r="B4" s="10" t="s">
        <v>19</v>
      </c>
      <c r="C4" s="10" t="s">
        <v>221</v>
      </c>
      <c r="D4" s="10" t="s">
        <v>54</v>
      </c>
      <c r="E4" s="10" t="s">
        <v>222</v>
      </c>
    </row>
    <row r="5" spans="1:5" s="11" customFormat="1" x14ac:dyDescent="0.25">
      <c r="A5" s="11" t="s">
        <v>223</v>
      </c>
      <c r="B5" s="12">
        <f>COUNTIF(Compiti!$I$2:$I$62,"Da fare")</f>
      </c>
      <c r="C5" s="12">
        <f>COUNTIF(Compiti!$I$2:$I$62,"In corso")</f>
      </c>
      <c r="D5" s="12">
        <f>COUNTIF(Compiti!$I$2:$I$62,"Fatto")</f>
      </c>
      <c r="E5" s="12">
        <f>SUM(B5:D5)</f>
      </c>
    </row>
    <row r="7" spans="1:1" s="11" customFormat="1" x14ac:dyDescent="0.25">
      <c r="A7" s="11" t="s">
        <v>224</v>
      </c>
    </row>
    <row r="8" spans="1:5" x14ac:dyDescent="0.25">
      <c r="A8" t="s">
        <v>225</v>
      </c>
      <c r="B8" s="13">
        <f>COUNTIFS(Compiti!$I$2:$I$62,"Da fare",Compiti!$H$2:$H$62,"Manuel")</f>
      </c>
      <c r="C8" s="13">
        <f>COUNTIFS(Compiti!$I$2:$I$62,"In corso",Compiti!$H$2:$H$62,"Manuel")</f>
      </c>
      <c r="D8" s="13">
        <f>COUNTIFS(Compiti!$I$2:$I$62,"Fatto",Compiti!$H$2:$H$62,"Manuel")</f>
      </c>
      <c r="E8" s="13">
        <f>SUM(B8:D8)</f>
      </c>
    </row>
    <row r="9" spans="1:5" x14ac:dyDescent="0.25">
      <c r="A9" t="s">
        <v>226</v>
      </c>
      <c r="B9" s="13">
        <f>COUNTIFS(Compiti!$I$2:$I$62,"Da fare",Compiti!$H$2:$H$62,"Marco")</f>
      </c>
      <c r="C9" s="13">
        <f>COUNTIFS(Compiti!$I$2:$I$62,"In corso",Compiti!$H$2:$H$62,"Marco")</f>
      </c>
      <c r="D9" s="13">
        <f>COUNTIFS(Compiti!$I$2:$I$62,"Fatto",Compiti!$H$2:$H$62,"Marco")</f>
      </c>
      <c r="E9" s="13">
        <f>SUM(B9:D9)</f>
      </c>
    </row>
    <row r="10" spans="1:5" x14ac:dyDescent="0.25">
      <c r="A10" t="s">
        <v>227</v>
      </c>
      <c r="B10" s="13">
        <f>COUNTIFS(Compiti!$I$2:$I$62,"Da fare",Compiti!$H$2:$H$62,"Pietro")</f>
      </c>
      <c r="C10" s="13">
        <f>COUNTIFS(Compiti!$I$2:$I$62,"In corso",Compiti!$H$2:$H$62,"Pietro")</f>
      </c>
      <c r="D10" s="13">
        <f>COUNTIFS(Compiti!$I$2:$I$62,"Fatto",Compiti!$H$2:$H$62,"Pietro")</f>
      </c>
      <c r="E10" s="13">
        <f>SUM(B10:D10)</f>
      </c>
    </row>
    <row r="11" spans="1:5" x14ac:dyDescent="0.25">
      <c r="A11" t="s">
        <v>228</v>
      </c>
      <c r="B11" s="13">
        <f>COUNTIFS(Compiti!$I$2:$I$62,"Da fare",Compiti!$H$2:$H$62,"")</f>
      </c>
      <c r="C11" s="13">
        <f>COUNTIFS(Compiti!$I$2:$I$62,"In corso",Compiti!$H$2:$H$62,"")</f>
      </c>
      <c r="D11" s="13">
        <f>COUNTIFS(Compiti!$I$2:$I$62,"Fatto",Compiti!$H$2:$H$62,"")</f>
      </c>
      <c r="E11" s="13">
        <f>SUM(B11:D11)</f>
      </c>
    </row>
    <row r="13" spans="1:1" s="11" customFormat="1" x14ac:dyDescent="0.25">
      <c r="A13" s="11" t="s">
        <v>229</v>
      </c>
    </row>
    <row r="14" spans="1:5" x14ac:dyDescent="0.25">
      <c r="A14" t="s">
        <v>14</v>
      </c>
      <c r="B14" s="13">
        <f>COUNTIFS(Compiti!$I$2:$I$62,"Da fare",Compiti!$D$2:$D$62,"Must")</f>
      </c>
      <c r="C14" s="13">
        <f>COUNTIFS(Compiti!$I$2:$I$62,"In corso",Compiti!$D$2:$D$62,"Must")</f>
      </c>
      <c r="D14" s="13">
        <f>COUNTIFS(Compiti!$I$2:$I$62,"Fatto",Compiti!$D$2:$D$62,"Must")</f>
      </c>
      <c r="E14" s="13">
        <f>SUM(B14:D14)</f>
      </c>
    </row>
    <row r="15" spans="1:5" x14ac:dyDescent="0.25">
      <c r="A15" t="s">
        <v>27</v>
      </c>
      <c r="B15" s="13">
        <f>COUNTIFS(Compiti!$I$2:$I$62,"Da fare",Compiti!$D$2:$D$62,"Should")</f>
      </c>
      <c r="C15" s="13">
        <f>COUNTIFS(Compiti!$I$2:$I$62,"In corso",Compiti!$D$2:$D$62,"Should")</f>
      </c>
      <c r="D15" s="13">
        <f>COUNTIFS(Compiti!$I$2:$I$62,"Fatto",Compiti!$D$2:$D$62,"Should")</f>
      </c>
      <c r="E15" s="13">
        <f>SUM(B15:D15)</f>
      </c>
    </row>
    <row r="16" spans="1:5" x14ac:dyDescent="0.25">
      <c r="A16" t="s">
        <v>35</v>
      </c>
      <c r="B16" s="13">
        <f>COUNTIFS(Compiti!$I$2:$I$62,"Da fare",Compiti!$D$2:$D$62,"Could")</f>
      </c>
      <c r="C16" s="13">
        <f>COUNTIFS(Compiti!$I$2:$I$62,"In corso",Compiti!$D$2:$D$62,"Could")</f>
      </c>
      <c r="D16" s="13">
        <f>COUNTIFS(Compiti!$I$2:$I$62,"Fatto",Compiti!$D$2:$D$62,"Could")</f>
      </c>
      <c r="E16" s="13">
        <f>SUM(B16:D16)</f>
      </c>
    </row>
    <row r="18" spans="1:1" s="9" customFormat="1" x14ac:dyDescent="0.25">
      <c r="A18" s="9" t="s">
        <v>230</v>
      </c>
    </row>
  </sheetData>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Compiti</vt:lpstr>
      <vt:lpstr>Riepilogo</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Unknown</dc:creator>
  <dc:title/>
  <dc:subject/>
  <dc:description/>
  <cp:keywords/>
  <cp:category/>
  <cp:lastModifiedBy>Unknown</cp:lastModifiedBy>
  <dcterms:created xsi:type="dcterms:W3CDTF">2026-10-14T11:48:36Z</dcterms:created>
  <dcterms:modified xsi:type="dcterms:W3CDTF">2026-10-14T11:48:36Z</dcterms:modified>
</cp:coreProperties>
</file>